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ers\TING\Desktop\敏婷d槽-2017\水處理-2017\水質表2026\中龍動力廠\"/>
    </mc:Choice>
  </mc:AlternateContent>
  <xr:revisionPtr revIDLastSave="0" documentId="13_ncr:1_{ED7024DE-295A-4026-8DDA-B393C17C8D40}" xr6:coauthVersionLast="47" xr6:coauthVersionMax="47" xr10:uidLastSave="{00000000-0000-0000-0000-000000000000}"/>
  <bookViews>
    <workbookView xWindow="-120" yWindow="-120" windowWidth="29040" windowHeight="15840" firstSheet="35" activeTab="50" xr2:uid="{10CAE163-127F-4EA8-BF41-2D0471A44352}"/>
  </bookViews>
  <sheets>
    <sheet name="0630" sheetId="4" r:id="rId1"/>
    <sheet name="0709" sheetId="5" r:id="rId2"/>
    <sheet name="0715" sheetId="6" r:id="rId3"/>
    <sheet name="0722" sheetId="7" r:id="rId4"/>
    <sheet name="0729" sheetId="8" r:id="rId5"/>
    <sheet name="0804" sheetId="9" r:id="rId6"/>
    <sheet name="0812" sheetId="10" r:id="rId7"/>
    <sheet name="0819" sheetId="11" r:id="rId8"/>
    <sheet name="0826" sheetId="12" r:id="rId9"/>
    <sheet name="0902" sheetId="2" r:id="rId10"/>
    <sheet name="0909" sheetId="13" r:id="rId11"/>
    <sheet name="0916" sheetId="14" r:id="rId12"/>
    <sheet name="0923" sheetId="15" r:id="rId13"/>
    <sheet name="0930" sheetId="16" r:id="rId14"/>
    <sheet name="1007" sheetId="17" r:id="rId15"/>
    <sheet name="1014" sheetId="18" r:id="rId16"/>
    <sheet name="1021" sheetId="19" r:id="rId17"/>
    <sheet name="1027" sheetId="20" r:id="rId18"/>
    <sheet name="1104" sheetId="21" r:id="rId19"/>
    <sheet name="1110" sheetId="22" r:id="rId20"/>
    <sheet name="1117" sheetId="23" r:id="rId21"/>
    <sheet name="1125" sheetId="24" r:id="rId22"/>
    <sheet name="1202" sheetId="25" r:id="rId23"/>
    <sheet name="1209" sheetId="26" r:id="rId24"/>
    <sheet name="1216" sheetId="27" r:id="rId25"/>
    <sheet name="1223" sheetId="28" r:id="rId26"/>
    <sheet name="1230" sheetId="29" r:id="rId27"/>
    <sheet name="0106" sheetId="30" r:id="rId28"/>
    <sheet name="0113" sheetId="31" r:id="rId29"/>
    <sheet name="0119" sheetId="32" r:id="rId30"/>
    <sheet name="0127" sheetId="33" r:id="rId31"/>
    <sheet name="0203" sheetId="34" r:id="rId32"/>
    <sheet name="0209" sheetId="35" r:id="rId33"/>
    <sheet name="0223" sheetId="36" r:id="rId34"/>
    <sheet name="0303" sheetId="37" r:id="rId35"/>
    <sheet name="0310" sheetId="38" r:id="rId36"/>
    <sheet name="0317" sheetId="39" r:id="rId37"/>
    <sheet name="0324" sheetId="40" r:id="rId38"/>
    <sheet name="0330" sheetId="41" r:id="rId39"/>
    <sheet name="0407" sheetId="42" r:id="rId40"/>
    <sheet name="0414" sheetId="43" r:id="rId41"/>
    <sheet name="0421" sheetId="44" r:id="rId42"/>
    <sheet name="0427" sheetId="45" r:id="rId43"/>
    <sheet name="0505" sheetId="46" r:id="rId44"/>
    <sheet name="0512" sheetId="47" r:id="rId45"/>
    <sheet name="0519" sheetId="48" r:id="rId46"/>
    <sheet name="0526" sheetId="49" r:id="rId47"/>
    <sheet name="0602" sheetId="50" r:id="rId48"/>
    <sheet name="0609" sheetId="51" r:id="rId49"/>
    <sheet name="0616" sheetId="52" r:id="rId50"/>
    <sheet name="0623" sheetId="53" r:id="rId5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53" l="1"/>
  <c r="C37" i="53"/>
  <c r="D21" i="53"/>
  <c r="C21" i="53"/>
  <c r="D15" i="53"/>
  <c r="C15" i="53"/>
  <c r="B15" i="53"/>
  <c r="D37" i="52"/>
  <c r="C37" i="52"/>
  <c r="D21" i="52"/>
  <c r="C21" i="52"/>
  <c r="D15" i="52"/>
  <c r="C15" i="52"/>
  <c r="B15" i="52"/>
  <c r="D37" i="51"/>
  <c r="C37" i="51"/>
  <c r="D21" i="51"/>
  <c r="C21" i="51"/>
  <c r="D15" i="51"/>
  <c r="C15" i="51"/>
  <c r="B15" i="51"/>
  <c r="D37" i="50"/>
  <c r="C37" i="50"/>
  <c r="D21" i="50"/>
  <c r="C21" i="50"/>
  <c r="D15" i="50"/>
  <c r="C15" i="50"/>
  <c r="B15" i="50"/>
  <c r="D37" i="49"/>
  <c r="C37" i="49"/>
  <c r="D21" i="49"/>
  <c r="C21" i="49"/>
  <c r="D15" i="49"/>
  <c r="C15" i="49"/>
  <c r="B15" i="49"/>
  <c r="D37" i="48"/>
  <c r="C37" i="48"/>
  <c r="D21" i="48"/>
  <c r="C21" i="48"/>
  <c r="D15" i="48"/>
  <c r="C15" i="48"/>
  <c r="B15" i="48"/>
  <c r="D37" i="47"/>
  <c r="C37" i="47"/>
  <c r="D21" i="47"/>
  <c r="C21" i="47"/>
  <c r="D15" i="47"/>
  <c r="C15" i="47"/>
  <c r="B15" i="47"/>
  <c r="D37" i="46"/>
  <c r="C37" i="46"/>
  <c r="D21" i="46"/>
  <c r="C21" i="46"/>
  <c r="D15" i="46"/>
  <c r="C15" i="46"/>
  <c r="B15" i="46"/>
  <c r="D37" i="45"/>
  <c r="C37" i="45"/>
  <c r="D21" i="45"/>
  <c r="C21" i="45"/>
  <c r="D15" i="45"/>
  <c r="C15" i="45"/>
  <c r="B15" i="45"/>
  <c r="D37" i="44"/>
  <c r="C37" i="44"/>
  <c r="D21" i="44"/>
  <c r="C21" i="44"/>
  <c r="D15" i="44"/>
  <c r="C15" i="44"/>
  <c r="B15" i="44"/>
  <c r="D37" i="43"/>
  <c r="C37" i="43"/>
  <c r="D21" i="43"/>
  <c r="C21" i="43"/>
  <c r="D15" i="43"/>
  <c r="C15" i="43"/>
  <c r="B15" i="43"/>
  <c r="D37" i="42"/>
  <c r="C37" i="42"/>
  <c r="D21" i="42"/>
  <c r="C21" i="42"/>
  <c r="D15" i="42"/>
  <c r="C15" i="42"/>
  <c r="B15" i="42"/>
  <c r="D37" i="41"/>
  <c r="C37" i="41"/>
  <c r="D21" i="41"/>
  <c r="C21" i="41"/>
  <c r="D15" i="41"/>
  <c r="C15" i="41"/>
  <c r="B15" i="41"/>
  <c r="D37" i="40"/>
  <c r="C37" i="40"/>
  <c r="D21" i="40"/>
  <c r="C21" i="40"/>
  <c r="D15" i="40"/>
  <c r="C15" i="40"/>
  <c r="B15" i="40"/>
  <c r="D37" i="39"/>
  <c r="C37" i="39"/>
  <c r="D21" i="39"/>
  <c r="C21" i="39"/>
  <c r="D15" i="39"/>
  <c r="C15" i="39"/>
  <c r="B15" i="39"/>
  <c r="D37" i="38"/>
  <c r="C37" i="38"/>
  <c r="D21" i="38"/>
  <c r="C21" i="38"/>
  <c r="D15" i="38"/>
  <c r="C15" i="38"/>
  <c r="B15" i="38"/>
  <c r="D37" i="37"/>
  <c r="C37" i="37"/>
  <c r="D21" i="37"/>
  <c r="C21" i="37"/>
  <c r="D15" i="37"/>
  <c r="C15" i="37"/>
  <c r="B15" i="37"/>
  <c r="D37" i="36"/>
  <c r="C37" i="36"/>
  <c r="D21" i="36"/>
  <c r="C21" i="36"/>
  <c r="D15" i="36"/>
  <c r="C15" i="36"/>
  <c r="B15" i="36"/>
  <c r="D37" i="35"/>
  <c r="C37" i="35"/>
  <c r="D21" i="35"/>
  <c r="C21" i="35"/>
  <c r="D15" i="35"/>
  <c r="C15" i="35"/>
  <c r="B15" i="35"/>
  <c r="D37" i="34"/>
  <c r="C37" i="34"/>
  <c r="D21" i="34"/>
  <c r="C21" i="34"/>
  <c r="D15" i="34"/>
  <c r="C15" i="34"/>
  <c r="B15" i="34"/>
  <c r="D37" i="33"/>
  <c r="C37" i="33"/>
  <c r="D21" i="33"/>
  <c r="C21" i="33"/>
  <c r="D15" i="33"/>
  <c r="C15" i="33"/>
  <c r="B15" i="33"/>
  <c r="D37" i="32"/>
  <c r="C37" i="32"/>
  <c r="D21" i="32"/>
  <c r="C21" i="32"/>
  <c r="D15" i="32"/>
  <c r="C15" i="32"/>
  <c r="B15" i="32"/>
  <c r="D37" i="31"/>
  <c r="C37" i="31"/>
  <c r="D21" i="31"/>
  <c r="C21" i="31"/>
  <c r="D15" i="31"/>
  <c r="C15" i="31"/>
  <c r="B15" i="31"/>
  <c r="D37" i="30"/>
  <c r="C37" i="30"/>
  <c r="D21" i="30"/>
  <c r="C21" i="30"/>
  <c r="D15" i="30"/>
  <c r="C15" i="30"/>
  <c r="B15" i="30"/>
  <c r="D37" i="29"/>
  <c r="C37" i="29"/>
  <c r="D21" i="29"/>
  <c r="C21" i="29"/>
  <c r="D15" i="29"/>
  <c r="C15" i="29"/>
  <c r="B15" i="29"/>
  <c r="D37" i="28"/>
  <c r="C37" i="28"/>
  <c r="D21" i="28"/>
  <c r="C21" i="28"/>
  <c r="D15" i="28"/>
  <c r="C15" i="28"/>
  <c r="B15" i="28"/>
  <c r="D37" i="27"/>
  <c r="C37" i="27"/>
  <c r="D21" i="27"/>
  <c r="C21" i="27"/>
  <c r="D15" i="27"/>
  <c r="C15" i="27"/>
  <c r="B15" i="27"/>
  <c r="D37" i="26"/>
  <c r="C37" i="26"/>
  <c r="D21" i="26"/>
  <c r="C21" i="26"/>
  <c r="D15" i="26"/>
  <c r="C15" i="26"/>
  <c r="B15" i="26"/>
  <c r="D37" i="25"/>
  <c r="C37" i="25"/>
  <c r="D21" i="25"/>
  <c r="C21" i="25"/>
  <c r="D15" i="25"/>
  <c r="C15" i="25"/>
  <c r="B15" i="25"/>
  <c r="D37" i="24"/>
  <c r="C37" i="24"/>
  <c r="D21" i="24"/>
  <c r="C21" i="24"/>
  <c r="D15" i="24"/>
  <c r="C15" i="24"/>
  <c r="B15" i="24"/>
  <c r="D37" i="22"/>
  <c r="C37" i="22"/>
  <c r="D21" i="22"/>
  <c r="C21" i="22"/>
  <c r="D15" i="22"/>
  <c r="C15" i="22"/>
  <c r="B15" i="22"/>
  <c r="D37" i="23" l="1"/>
  <c r="C37" i="23"/>
  <c r="D21" i="23"/>
  <c r="C21" i="23"/>
  <c r="D15" i="23"/>
  <c r="C15" i="23"/>
  <c r="B15" i="23"/>
  <c r="D37" i="21"/>
  <c r="C37" i="21"/>
  <c r="D21" i="21"/>
  <c r="C21" i="21"/>
  <c r="D15" i="21"/>
  <c r="C15" i="21"/>
  <c r="B15" i="21"/>
  <c r="D37" i="20"/>
  <c r="C37" i="20"/>
  <c r="D21" i="20"/>
  <c r="C21" i="20"/>
  <c r="D15" i="20"/>
  <c r="C15" i="20"/>
  <c r="B15" i="20"/>
  <c r="D37" i="19"/>
  <c r="C37" i="19"/>
  <c r="D21" i="19"/>
  <c r="C21" i="19"/>
  <c r="D15" i="19"/>
  <c r="C15" i="19"/>
  <c r="B15" i="19"/>
  <c r="D37" i="18"/>
  <c r="C37" i="18"/>
  <c r="D21" i="18"/>
  <c r="C21" i="18"/>
  <c r="D15" i="18"/>
  <c r="C15" i="18"/>
  <c r="B15" i="18"/>
  <c r="D37" i="17"/>
  <c r="C37" i="17"/>
  <c r="D21" i="17"/>
  <c r="C21" i="17"/>
  <c r="D15" i="17"/>
  <c r="C15" i="17"/>
  <c r="B15" i="17"/>
  <c r="D37" i="16" l="1"/>
  <c r="C37" i="16"/>
  <c r="D21" i="16"/>
  <c r="C21" i="16"/>
  <c r="D15" i="16"/>
  <c r="C15" i="16"/>
  <c r="B15" i="16"/>
  <c r="D37" i="15"/>
  <c r="C37" i="15"/>
  <c r="D21" i="15"/>
  <c r="C21" i="15"/>
  <c r="D15" i="15"/>
  <c r="C15" i="15"/>
  <c r="B15" i="15"/>
  <c r="D37" i="14"/>
  <c r="C37" i="14"/>
  <c r="D21" i="14"/>
  <c r="C21" i="14"/>
  <c r="D15" i="14"/>
  <c r="C15" i="14"/>
  <c r="B15" i="14"/>
  <c r="D15" i="13"/>
  <c r="C15" i="13"/>
  <c r="D37" i="13"/>
  <c r="C37" i="13"/>
  <c r="D21" i="13"/>
  <c r="C21" i="13"/>
  <c r="B15" i="13"/>
  <c r="D37" i="12"/>
  <c r="C37" i="12"/>
  <c r="D21" i="12"/>
  <c r="C21" i="12"/>
  <c r="D15" i="12"/>
  <c r="C15" i="12"/>
  <c r="B15" i="12"/>
  <c r="D36" i="11"/>
  <c r="C36" i="11"/>
  <c r="D20" i="11"/>
  <c r="C20" i="11"/>
  <c r="D14" i="11"/>
  <c r="C14" i="11"/>
  <c r="B14" i="11"/>
  <c r="B14" i="10"/>
  <c r="C14" i="10"/>
  <c r="D36" i="10"/>
  <c r="C36" i="10"/>
  <c r="D20" i="10"/>
  <c r="C20" i="10"/>
  <c r="D14" i="10"/>
  <c r="D36" i="9"/>
  <c r="B14" i="9"/>
  <c r="C14" i="9"/>
  <c r="C36" i="9"/>
  <c r="D20" i="9"/>
  <c r="C20" i="9"/>
  <c r="D14" i="9"/>
  <c r="D37" i="2"/>
  <c r="C37" i="2"/>
  <c r="D36" i="8"/>
  <c r="C36" i="8"/>
  <c r="D36" i="7"/>
  <c r="C36" i="7"/>
  <c r="D36" i="6"/>
  <c r="C36" i="6"/>
  <c r="D36" i="5"/>
  <c r="C36" i="5"/>
  <c r="D36" i="4"/>
  <c r="C36" i="4"/>
  <c r="B14" i="8"/>
  <c r="C14" i="8"/>
  <c r="D20" i="8"/>
  <c r="C20" i="8"/>
  <c r="D14" i="8"/>
  <c r="B14" i="7"/>
  <c r="C14" i="7"/>
  <c r="D20" i="7"/>
  <c r="C20" i="7"/>
  <c r="D14" i="7"/>
  <c r="D20" i="6"/>
  <c r="C20" i="6"/>
  <c r="D14" i="6"/>
  <c r="C14" i="6"/>
  <c r="B14" i="6"/>
  <c r="C14" i="5"/>
  <c r="D20" i="5"/>
  <c r="C20" i="5"/>
  <c r="D14" i="5"/>
  <c r="B14" i="5"/>
  <c r="D15" i="2"/>
  <c r="C15" i="2"/>
  <c r="B15" i="2"/>
  <c r="D14" i="4"/>
  <c r="C14" i="4"/>
  <c r="B14" i="4"/>
  <c r="D20" i="4"/>
  <c r="C20" i="4"/>
  <c r="D21" i="2"/>
  <c r="C21" i="2"/>
</calcChain>
</file>

<file path=xl/sharedStrings.xml><?xml version="1.0" encoding="utf-8"?>
<sst xmlns="http://schemas.openxmlformats.org/spreadsheetml/2006/main" count="4912" uniqueCount="193">
  <si>
    <t>WATER  ANALYSIS  REPORT</t>
    <phoneticPr fontId="3" type="noConversion"/>
  </si>
  <si>
    <t>FOR:</t>
    <phoneticPr fontId="3" type="noConversion"/>
  </si>
  <si>
    <t>DSC CW 1&amp; CW 2</t>
    <phoneticPr fontId="3" type="noConversion"/>
  </si>
  <si>
    <r>
      <t>SAMPLE DATE:       114</t>
    </r>
    <r>
      <rPr>
        <sz val="12"/>
        <rFont val="標楷體"/>
        <family val="4"/>
        <charset val="136"/>
      </rPr>
      <t>年</t>
    </r>
    <phoneticPr fontId="3" type="noConversion"/>
  </si>
  <si>
    <r>
      <t xml:space="preserve">9 </t>
    </r>
    <r>
      <rPr>
        <sz val="12"/>
        <rFont val="標楷體"/>
        <family val="4"/>
        <charset val="136"/>
      </rPr>
      <t>月</t>
    </r>
    <phoneticPr fontId="3" type="noConversion"/>
  </si>
  <si>
    <r>
      <t xml:space="preserve">2 </t>
    </r>
    <r>
      <rPr>
        <sz val="12"/>
        <rFont val="標楷體"/>
        <family val="4"/>
        <charset val="136"/>
      </rPr>
      <t>日</t>
    </r>
    <phoneticPr fontId="3" type="noConversion"/>
  </si>
  <si>
    <t>SAMPLE</t>
    <phoneticPr fontId="3" type="noConversion"/>
  </si>
  <si>
    <r>
      <t>SAMPLING  POINTS(</t>
    </r>
    <r>
      <rPr>
        <sz val="12"/>
        <rFont val="標楷體"/>
        <family val="4"/>
        <charset val="136"/>
      </rPr>
      <t>取樣處</t>
    </r>
    <r>
      <rPr>
        <sz val="12"/>
        <rFont val="GE Inspira"/>
        <family val="2"/>
      </rPr>
      <t>)</t>
    </r>
    <phoneticPr fontId="3" type="noConversion"/>
  </si>
  <si>
    <r>
      <rPr>
        <sz val="12"/>
        <rFont val="標楷體"/>
        <family val="4"/>
        <charset val="136"/>
      </rPr>
      <t>控制界線</t>
    </r>
    <phoneticPr fontId="3" type="noConversion"/>
  </si>
  <si>
    <t>ITEM</t>
    <phoneticPr fontId="3" type="noConversion"/>
  </si>
  <si>
    <r>
      <t>TW(</t>
    </r>
    <r>
      <rPr>
        <sz val="12"/>
        <rFont val="標楷體"/>
        <family val="4"/>
        <charset val="136"/>
      </rPr>
      <t>補水</t>
    </r>
    <r>
      <rPr>
        <sz val="12"/>
        <rFont val="GE Inspira"/>
        <family val="2"/>
      </rPr>
      <t>)</t>
    </r>
    <phoneticPr fontId="3" type="noConversion"/>
  </si>
  <si>
    <r>
      <t>CW                         (</t>
    </r>
    <r>
      <rPr>
        <sz val="12"/>
        <rFont val="標楷體"/>
        <family val="4"/>
        <charset val="136"/>
      </rPr>
      <t>一階冷卻水</t>
    </r>
    <r>
      <rPr>
        <sz val="12"/>
        <rFont val="GE Inspira"/>
        <family val="2"/>
      </rPr>
      <t>)</t>
    </r>
    <phoneticPr fontId="3" type="noConversion"/>
  </si>
  <si>
    <r>
      <t>CW                         (</t>
    </r>
    <r>
      <rPr>
        <sz val="12"/>
        <rFont val="標楷體"/>
        <family val="4"/>
        <charset val="136"/>
      </rPr>
      <t>二階冷卻水</t>
    </r>
    <r>
      <rPr>
        <sz val="12"/>
        <rFont val="GE Inspira"/>
        <family val="2"/>
      </rPr>
      <t>)</t>
    </r>
    <phoneticPr fontId="3" type="noConversion"/>
  </si>
  <si>
    <r>
      <rPr>
        <sz val="12"/>
        <rFont val="標楷體"/>
        <family val="4"/>
        <charset val="136"/>
      </rPr>
      <t>一階</t>
    </r>
    <r>
      <rPr>
        <sz val="12"/>
        <rFont val="GE Inspira"/>
        <family val="2"/>
      </rPr>
      <t xml:space="preserve"> C.W</t>
    </r>
    <phoneticPr fontId="3" type="noConversion"/>
  </si>
  <si>
    <r>
      <rPr>
        <sz val="12"/>
        <rFont val="標楷體"/>
        <family val="4"/>
        <charset val="136"/>
      </rPr>
      <t>二階</t>
    </r>
    <r>
      <rPr>
        <sz val="12"/>
        <rFont val="GE Inspira"/>
        <family val="2"/>
      </rPr>
      <t xml:space="preserve"> C.W</t>
    </r>
    <phoneticPr fontId="3" type="noConversion"/>
  </si>
  <si>
    <t>pH</t>
    <phoneticPr fontId="3" type="noConversion"/>
  </si>
  <si>
    <t>7.5~8.0</t>
    <phoneticPr fontId="3" type="noConversion"/>
  </si>
  <si>
    <t>7.4~7.8</t>
    <phoneticPr fontId="3" type="noConversion"/>
  </si>
  <si>
    <r>
      <rPr>
        <sz val="12"/>
        <rFont val="標楷體"/>
        <family val="4"/>
        <charset val="136"/>
      </rPr>
      <t>水垢</t>
    </r>
    <r>
      <rPr>
        <sz val="12"/>
        <rFont val="GE Inspira"/>
        <family val="2"/>
      </rPr>
      <t xml:space="preserve"> </t>
    </r>
    <r>
      <rPr>
        <sz val="12"/>
        <rFont val="標楷體"/>
        <family val="4"/>
        <charset val="136"/>
      </rPr>
      <t>腐蝕抑制劑</t>
    </r>
    <r>
      <rPr>
        <sz val="12"/>
        <rFont val="GE Inspira"/>
        <family val="2"/>
      </rPr>
      <t>kg (</t>
    </r>
    <r>
      <rPr>
        <sz val="12"/>
        <rFont val="標楷體"/>
        <family val="4"/>
        <charset val="136"/>
      </rPr>
      <t>理論</t>
    </r>
    <r>
      <rPr>
        <sz val="12"/>
        <rFont val="GE Inspira"/>
        <family val="2"/>
      </rPr>
      <t>)</t>
    </r>
    <phoneticPr fontId="3" type="noConversion"/>
  </si>
  <si>
    <r>
      <t>Specific Conductance      Micromho/cm 25</t>
    </r>
    <r>
      <rPr>
        <sz val="12"/>
        <rFont val="Segoe UI Symbol"/>
        <family val="4"/>
      </rPr>
      <t xml:space="preserve">℃ </t>
    </r>
    <r>
      <rPr>
        <sz val="12"/>
        <rFont val="GE Inspira"/>
        <family val="2"/>
      </rPr>
      <t>(</t>
    </r>
    <r>
      <rPr>
        <sz val="12"/>
        <rFont val="標楷體"/>
        <family val="4"/>
        <charset val="136"/>
      </rPr>
      <t>導電度</t>
    </r>
    <r>
      <rPr>
        <sz val="12"/>
        <rFont val="GE Inspira"/>
        <family val="2"/>
      </rPr>
      <t>)</t>
    </r>
    <phoneticPr fontId="3" type="noConversion"/>
  </si>
  <si>
    <t>&lt;2500</t>
    <phoneticPr fontId="3" type="noConversion"/>
  </si>
  <si>
    <r>
      <t>Total Dissolved Solids</t>
    </r>
    <r>
      <rPr>
        <sz val="12"/>
        <rFont val="標楷體"/>
        <family val="4"/>
        <charset val="136"/>
      </rPr>
      <t>．</t>
    </r>
    <r>
      <rPr>
        <sz val="12"/>
        <rFont val="GE Inspira"/>
        <family val="2"/>
      </rPr>
      <t>TDS              ppm (</t>
    </r>
    <r>
      <rPr>
        <sz val="12"/>
        <rFont val="標楷體"/>
        <family val="4"/>
        <charset val="136"/>
      </rPr>
      <t>總溶解固型物</t>
    </r>
    <r>
      <rPr>
        <sz val="12"/>
        <rFont val="GE Inspira"/>
        <family val="2"/>
      </rPr>
      <t>)</t>
    </r>
    <phoneticPr fontId="3" type="noConversion"/>
  </si>
  <si>
    <r>
      <rPr>
        <sz val="12"/>
        <rFont val="標楷體"/>
        <family val="4"/>
        <charset val="136"/>
      </rPr>
      <t>水垢</t>
    </r>
    <r>
      <rPr>
        <sz val="12"/>
        <rFont val="GE Inspira"/>
        <family val="2"/>
      </rPr>
      <t xml:space="preserve"> </t>
    </r>
    <r>
      <rPr>
        <sz val="12"/>
        <rFont val="標楷體"/>
        <family val="4"/>
        <charset val="136"/>
      </rPr>
      <t>腐蝕抑制劑</t>
    </r>
    <r>
      <rPr>
        <sz val="12"/>
        <rFont val="GE Inspira"/>
        <family val="2"/>
      </rPr>
      <t>kg (</t>
    </r>
    <r>
      <rPr>
        <sz val="12"/>
        <rFont val="標楷體"/>
        <family val="4"/>
        <charset val="136"/>
      </rPr>
      <t>實際</t>
    </r>
    <r>
      <rPr>
        <sz val="12"/>
        <rFont val="GE Inspira"/>
        <family val="2"/>
      </rPr>
      <t>)</t>
    </r>
    <phoneticPr fontId="3" type="noConversion"/>
  </si>
  <si>
    <r>
      <t>M-Alkalinity                                         as CaCO</t>
    </r>
    <r>
      <rPr>
        <vertAlign val="subscript"/>
        <sz val="12"/>
        <rFont val="GE Inspira"/>
        <family val="2"/>
      </rPr>
      <t>3</t>
    </r>
    <r>
      <rPr>
        <sz val="12"/>
        <rFont val="GE Inspira"/>
        <family val="2"/>
      </rPr>
      <t xml:space="preserve">  ppm (M-</t>
    </r>
    <r>
      <rPr>
        <sz val="12"/>
        <rFont val="標楷體"/>
        <family val="4"/>
        <charset val="136"/>
      </rPr>
      <t>鹼性度</t>
    </r>
    <r>
      <rPr>
        <sz val="12"/>
        <rFont val="GE Inspira"/>
        <family val="2"/>
      </rPr>
      <t>)</t>
    </r>
    <phoneticPr fontId="3" type="noConversion"/>
  </si>
  <si>
    <r>
      <t>Total Hardness                                   as CaCO</t>
    </r>
    <r>
      <rPr>
        <vertAlign val="subscript"/>
        <sz val="12"/>
        <rFont val="GE Inspira"/>
        <family val="2"/>
      </rPr>
      <t>3</t>
    </r>
    <r>
      <rPr>
        <sz val="12"/>
        <rFont val="GE Inspira"/>
        <family val="2"/>
      </rPr>
      <t xml:space="preserve">  ppm (</t>
    </r>
    <r>
      <rPr>
        <sz val="12"/>
        <rFont val="標楷體"/>
        <family val="4"/>
        <charset val="136"/>
      </rPr>
      <t>總硬度</t>
    </r>
    <r>
      <rPr>
        <sz val="12"/>
        <rFont val="GE Inspira"/>
        <family val="2"/>
      </rPr>
      <t>)</t>
    </r>
    <phoneticPr fontId="3" type="noConversion"/>
  </si>
  <si>
    <r>
      <rPr>
        <sz val="12"/>
        <rFont val="標楷體"/>
        <family val="4"/>
        <charset val="136"/>
      </rPr>
      <t>分散劑</t>
    </r>
    <r>
      <rPr>
        <sz val="12"/>
        <rFont val="GE Inspira"/>
        <family val="2"/>
      </rPr>
      <t xml:space="preserve">  kg (</t>
    </r>
    <r>
      <rPr>
        <sz val="12"/>
        <rFont val="標楷體"/>
        <family val="4"/>
        <charset val="136"/>
      </rPr>
      <t>理論</t>
    </r>
    <r>
      <rPr>
        <sz val="12"/>
        <rFont val="GE Inspira"/>
        <family val="2"/>
      </rPr>
      <t>)</t>
    </r>
    <phoneticPr fontId="3" type="noConversion"/>
  </si>
  <si>
    <r>
      <t>Calcium Hardness                             as CaCO3  ppm (</t>
    </r>
    <r>
      <rPr>
        <sz val="12"/>
        <rFont val="標楷體"/>
        <family val="4"/>
        <charset val="136"/>
      </rPr>
      <t>鈣硬度</t>
    </r>
    <r>
      <rPr>
        <sz val="12"/>
        <rFont val="GE Inspira"/>
        <family val="2"/>
      </rPr>
      <t>)</t>
    </r>
    <phoneticPr fontId="3" type="noConversion"/>
  </si>
  <si>
    <t>800~1250</t>
    <phoneticPr fontId="3" type="noConversion"/>
  </si>
  <si>
    <t>900~1000</t>
    <phoneticPr fontId="3" type="noConversion"/>
  </si>
  <si>
    <r>
      <rPr>
        <sz val="12"/>
        <rFont val="標楷體"/>
        <family val="4"/>
        <charset val="136"/>
      </rPr>
      <t>分散劑</t>
    </r>
    <r>
      <rPr>
        <sz val="12"/>
        <rFont val="GE Inspira"/>
        <family val="2"/>
      </rPr>
      <t xml:space="preserve">  kg (</t>
    </r>
    <r>
      <rPr>
        <sz val="12"/>
        <rFont val="標楷體"/>
        <family val="4"/>
        <charset val="136"/>
      </rPr>
      <t>實際</t>
    </r>
    <r>
      <rPr>
        <sz val="12"/>
        <rFont val="GE Inspira"/>
        <family val="2"/>
      </rPr>
      <t>)</t>
    </r>
    <phoneticPr fontId="3" type="noConversion"/>
  </si>
  <si>
    <r>
      <t>Magnesium Hardness                             as CaCO</t>
    </r>
    <r>
      <rPr>
        <vertAlign val="subscript"/>
        <sz val="12"/>
        <rFont val="GE Inspira"/>
        <family val="2"/>
      </rPr>
      <t>3</t>
    </r>
    <r>
      <rPr>
        <sz val="12"/>
        <rFont val="GE Inspira"/>
        <family val="2"/>
      </rPr>
      <t xml:space="preserve">  ppm (</t>
    </r>
    <r>
      <rPr>
        <sz val="12"/>
        <rFont val="標楷體"/>
        <family val="4"/>
        <charset val="136"/>
      </rPr>
      <t>鎂硬度</t>
    </r>
    <r>
      <rPr>
        <sz val="12"/>
        <rFont val="GE Inspira"/>
        <family val="2"/>
      </rPr>
      <t>)</t>
    </r>
    <phoneticPr fontId="3" type="noConversion"/>
  </si>
  <si>
    <r>
      <rPr>
        <sz val="12"/>
        <rFont val="標楷體"/>
        <family val="4"/>
        <charset val="136"/>
      </rPr>
      <t>銅腐蝕抑制劑</t>
    </r>
    <r>
      <rPr>
        <sz val="12"/>
        <rFont val="GE Inspira"/>
        <family val="2"/>
      </rPr>
      <t xml:space="preserve">    kg (</t>
    </r>
    <r>
      <rPr>
        <sz val="12"/>
        <rFont val="標楷體"/>
        <family val="4"/>
        <charset val="136"/>
      </rPr>
      <t>理論</t>
    </r>
    <r>
      <rPr>
        <sz val="12"/>
        <rFont val="GE Inspira"/>
        <family val="2"/>
      </rPr>
      <t>)</t>
    </r>
    <phoneticPr fontId="3" type="noConversion"/>
  </si>
  <si>
    <r>
      <t>Chloride                                   as Cl ppm(</t>
    </r>
    <r>
      <rPr>
        <sz val="12"/>
        <rFont val="標楷體"/>
        <family val="4"/>
        <charset val="136"/>
      </rPr>
      <t>氯化鹽</t>
    </r>
    <r>
      <rPr>
        <sz val="12"/>
        <rFont val="GE Inspira"/>
        <family val="2"/>
      </rPr>
      <t>)</t>
    </r>
    <phoneticPr fontId="3" type="noConversion"/>
  </si>
  <si>
    <t>&lt;250</t>
    <phoneticPr fontId="3" type="noConversion"/>
  </si>
  <si>
    <t>&lt;300</t>
    <phoneticPr fontId="3" type="noConversion"/>
  </si>
  <si>
    <r>
      <t>Sulphate                                  as SO</t>
    </r>
    <r>
      <rPr>
        <vertAlign val="subscript"/>
        <sz val="12"/>
        <rFont val="GE Inspira"/>
        <family val="2"/>
      </rPr>
      <t>4</t>
    </r>
    <r>
      <rPr>
        <sz val="12"/>
        <rFont val="GE Inspira"/>
        <family val="2"/>
      </rPr>
      <t xml:space="preserve"> ppm (</t>
    </r>
    <r>
      <rPr>
        <sz val="12"/>
        <rFont val="標楷體"/>
        <family val="4"/>
        <charset val="136"/>
      </rPr>
      <t>硫酸鹽</t>
    </r>
    <r>
      <rPr>
        <sz val="12"/>
        <rFont val="GE Inspira"/>
        <family val="2"/>
      </rPr>
      <t>)</t>
    </r>
    <phoneticPr fontId="3" type="noConversion"/>
  </si>
  <si>
    <r>
      <rPr>
        <sz val="12"/>
        <rFont val="標楷體"/>
        <family val="4"/>
        <charset val="136"/>
      </rPr>
      <t>銅腐蝕抑制劑</t>
    </r>
    <r>
      <rPr>
        <sz val="12"/>
        <rFont val="GE Inspira"/>
        <family val="2"/>
      </rPr>
      <t xml:space="preserve">    kg (</t>
    </r>
    <r>
      <rPr>
        <sz val="12"/>
        <rFont val="標楷體"/>
        <family val="4"/>
        <charset val="136"/>
      </rPr>
      <t>實際</t>
    </r>
    <r>
      <rPr>
        <sz val="12"/>
        <rFont val="GE Inspira"/>
        <family val="2"/>
      </rPr>
      <t>)</t>
    </r>
    <phoneticPr fontId="3" type="noConversion"/>
  </si>
  <si>
    <r>
      <t>Silica                                        as SiO</t>
    </r>
    <r>
      <rPr>
        <vertAlign val="subscript"/>
        <sz val="12"/>
        <rFont val="GE Inspira"/>
        <family val="2"/>
      </rPr>
      <t>2</t>
    </r>
    <r>
      <rPr>
        <sz val="12"/>
        <rFont val="GE Inspira"/>
        <family val="2"/>
      </rPr>
      <t xml:space="preserve"> ppm (</t>
    </r>
    <r>
      <rPr>
        <sz val="12"/>
        <rFont val="標楷體"/>
        <family val="4"/>
        <charset val="136"/>
      </rPr>
      <t>矽酸鹽</t>
    </r>
    <r>
      <rPr>
        <sz val="12"/>
        <rFont val="GE Inspira"/>
        <family val="2"/>
      </rPr>
      <t>)</t>
    </r>
    <phoneticPr fontId="3" type="noConversion"/>
  </si>
  <si>
    <t>&lt;200</t>
    <phoneticPr fontId="3" type="noConversion"/>
  </si>
  <si>
    <t>&lt;150</t>
    <phoneticPr fontId="3" type="noConversion"/>
  </si>
  <si>
    <r>
      <t>Total phosphate as  PO</t>
    </r>
    <r>
      <rPr>
        <vertAlign val="subscript"/>
        <sz val="12"/>
        <rFont val="GE Inspira"/>
        <family val="2"/>
      </rPr>
      <t>4</t>
    </r>
    <r>
      <rPr>
        <sz val="12"/>
        <rFont val="GE Inspira"/>
        <family val="2"/>
      </rPr>
      <t xml:space="preserve"> ppm (TP) (</t>
    </r>
    <r>
      <rPr>
        <sz val="12"/>
        <rFont val="標楷體"/>
        <family val="4"/>
        <charset val="136"/>
      </rPr>
      <t>總磷酸鹽</t>
    </r>
    <r>
      <rPr>
        <sz val="12"/>
        <rFont val="GE Inspira"/>
        <family val="2"/>
      </rPr>
      <t>)</t>
    </r>
    <phoneticPr fontId="3" type="noConversion"/>
  </si>
  <si>
    <r>
      <rPr>
        <sz val="12"/>
        <rFont val="標楷體"/>
        <family val="4"/>
        <charset val="136"/>
      </rPr>
      <t>非氧化型殺菌劑</t>
    </r>
    <r>
      <rPr>
        <sz val="12"/>
        <rFont val="GE Inspira"/>
        <family val="2"/>
      </rPr>
      <t xml:space="preserve">    kg (</t>
    </r>
    <r>
      <rPr>
        <sz val="12"/>
        <rFont val="標楷體"/>
        <family val="4"/>
        <charset val="136"/>
      </rPr>
      <t>理論</t>
    </r>
    <r>
      <rPr>
        <sz val="12"/>
        <rFont val="GE Inspira"/>
        <family val="2"/>
      </rPr>
      <t>)</t>
    </r>
    <phoneticPr fontId="3" type="noConversion"/>
  </si>
  <si>
    <r>
      <t>Total Inorganic phosphate     as  PO</t>
    </r>
    <r>
      <rPr>
        <vertAlign val="subscript"/>
        <sz val="12"/>
        <rFont val="GE Inspira"/>
        <family val="2"/>
      </rPr>
      <t>4</t>
    </r>
    <r>
      <rPr>
        <sz val="12"/>
        <rFont val="GE Inspira"/>
        <family val="2"/>
      </rPr>
      <t xml:space="preserve">  ppm (</t>
    </r>
    <r>
      <rPr>
        <sz val="12"/>
        <rFont val="標楷體"/>
        <family val="4"/>
        <charset val="136"/>
      </rPr>
      <t>總無機磷酸鹽</t>
    </r>
    <r>
      <rPr>
        <sz val="12"/>
        <rFont val="GE Inspira"/>
        <family val="2"/>
      </rPr>
      <t>)</t>
    </r>
    <phoneticPr fontId="3" type="noConversion"/>
  </si>
  <si>
    <r>
      <t>Organic Phosphate                as  PO</t>
    </r>
    <r>
      <rPr>
        <vertAlign val="subscript"/>
        <sz val="12"/>
        <rFont val="GE Inspira"/>
        <family val="2"/>
      </rPr>
      <t>4</t>
    </r>
    <r>
      <rPr>
        <sz val="12"/>
        <rFont val="GE Inspira"/>
        <family val="2"/>
      </rPr>
      <t xml:space="preserve">  ppm (</t>
    </r>
    <r>
      <rPr>
        <sz val="12"/>
        <rFont val="標楷體"/>
        <family val="4"/>
        <charset val="136"/>
      </rPr>
      <t>有機磷酸鹽</t>
    </r>
    <r>
      <rPr>
        <sz val="12"/>
        <rFont val="GE Inspira"/>
        <family val="2"/>
      </rPr>
      <t>)</t>
    </r>
    <phoneticPr fontId="3" type="noConversion"/>
  </si>
  <si>
    <t>1~5</t>
    <phoneticPr fontId="3" type="noConversion"/>
  </si>
  <si>
    <r>
      <rPr>
        <sz val="12"/>
        <rFont val="標楷體"/>
        <family val="4"/>
        <charset val="136"/>
      </rPr>
      <t>非氧化型殺菌劑</t>
    </r>
    <r>
      <rPr>
        <sz val="12"/>
        <rFont val="GE Inspira"/>
        <family val="2"/>
      </rPr>
      <t>kg (</t>
    </r>
    <r>
      <rPr>
        <sz val="12"/>
        <rFont val="標楷體"/>
        <family val="4"/>
        <charset val="136"/>
      </rPr>
      <t>實際</t>
    </r>
    <r>
      <rPr>
        <sz val="12"/>
        <rFont val="GE Inspira"/>
        <family val="2"/>
      </rPr>
      <t>)</t>
    </r>
    <phoneticPr fontId="3" type="noConversion"/>
  </si>
  <si>
    <r>
      <t>Ortho Phosphate                           as  PO</t>
    </r>
    <r>
      <rPr>
        <vertAlign val="subscript"/>
        <sz val="12"/>
        <rFont val="GE Inspira"/>
        <family val="2"/>
      </rPr>
      <t>4</t>
    </r>
    <r>
      <rPr>
        <sz val="12"/>
        <rFont val="GE Inspira"/>
        <family val="2"/>
      </rPr>
      <t xml:space="preserve">  ppm (</t>
    </r>
    <r>
      <rPr>
        <sz val="12"/>
        <rFont val="標楷體"/>
        <family val="4"/>
        <charset val="136"/>
      </rPr>
      <t>磷酸鹽</t>
    </r>
    <r>
      <rPr>
        <sz val="12"/>
        <rFont val="GE Inspira"/>
        <family val="2"/>
      </rPr>
      <t>)</t>
    </r>
    <phoneticPr fontId="3" type="noConversion"/>
  </si>
  <si>
    <t>3~8</t>
    <phoneticPr fontId="3" type="noConversion"/>
  </si>
  <si>
    <r>
      <rPr>
        <sz val="12"/>
        <rFont val="標楷體"/>
        <family val="4"/>
        <charset val="136"/>
      </rPr>
      <t>非氧化型殺菌劑</t>
    </r>
    <r>
      <rPr>
        <sz val="12"/>
        <rFont val="GE Inspira"/>
        <family val="2"/>
      </rPr>
      <t>kg(</t>
    </r>
    <r>
      <rPr>
        <sz val="12"/>
        <rFont val="標楷體"/>
        <family val="4"/>
        <charset val="136"/>
      </rPr>
      <t>實際</t>
    </r>
    <r>
      <rPr>
        <sz val="12"/>
        <rFont val="GE Inspira"/>
        <family val="2"/>
      </rPr>
      <t>)</t>
    </r>
    <phoneticPr fontId="3" type="noConversion"/>
  </si>
  <si>
    <r>
      <t>Total Iron as Fe, ppm (</t>
    </r>
    <r>
      <rPr>
        <sz val="12"/>
        <rFont val="標楷體"/>
        <family val="4"/>
        <charset val="136"/>
      </rPr>
      <t>全鐵</t>
    </r>
    <r>
      <rPr>
        <sz val="12"/>
        <rFont val="GE Inspira"/>
        <family val="2"/>
      </rPr>
      <t>)</t>
    </r>
    <phoneticPr fontId="3" type="noConversion"/>
  </si>
  <si>
    <t>&lt;2.0</t>
    <phoneticPr fontId="3" type="noConversion"/>
  </si>
  <si>
    <t>&lt;1.0</t>
    <phoneticPr fontId="3" type="noConversion"/>
  </si>
  <si>
    <r>
      <rPr>
        <sz val="12"/>
        <rFont val="標楷體"/>
        <family val="4"/>
        <charset val="136"/>
      </rPr>
      <t>微生物分散劑</t>
    </r>
    <r>
      <rPr>
        <sz val="12"/>
        <rFont val="GE Inspira"/>
        <family val="2"/>
      </rPr>
      <t xml:space="preserve">   kg (</t>
    </r>
    <r>
      <rPr>
        <sz val="12"/>
        <rFont val="標楷體"/>
        <family val="4"/>
        <charset val="136"/>
      </rPr>
      <t>理論</t>
    </r>
    <r>
      <rPr>
        <sz val="12"/>
        <rFont val="GE Inspira"/>
        <family val="2"/>
      </rPr>
      <t>)</t>
    </r>
    <phoneticPr fontId="3" type="noConversion"/>
  </si>
  <si>
    <r>
      <t>Zinc as Zn</t>
    </r>
    <r>
      <rPr>
        <vertAlign val="superscript"/>
        <sz val="12"/>
        <rFont val="GE Inspira"/>
        <family val="2"/>
      </rPr>
      <t>+2</t>
    </r>
    <r>
      <rPr>
        <sz val="12"/>
        <rFont val="GE Inspira"/>
        <family val="2"/>
      </rPr>
      <t>, ppm (</t>
    </r>
    <r>
      <rPr>
        <sz val="12"/>
        <rFont val="標楷體"/>
        <family val="4"/>
        <charset val="136"/>
      </rPr>
      <t>鋅</t>
    </r>
    <r>
      <rPr>
        <sz val="12"/>
        <rFont val="GE Inspira"/>
        <family val="2"/>
      </rPr>
      <t>)</t>
    </r>
    <phoneticPr fontId="3" type="noConversion"/>
  </si>
  <si>
    <t>&gt;1.0</t>
    <phoneticPr fontId="3" type="noConversion"/>
  </si>
  <si>
    <r>
      <t>Copper as Cu, ppm (</t>
    </r>
    <r>
      <rPr>
        <sz val="12"/>
        <rFont val="標楷體"/>
        <family val="4"/>
        <charset val="136"/>
      </rPr>
      <t>銅</t>
    </r>
    <r>
      <rPr>
        <sz val="12"/>
        <rFont val="GE Inspira"/>
        <family val="2"/>
      </rPr>
      <t>)</t>
    </r>
    <phoneticPr fontId="3" type="noConversion"/>
  </si>
  <si>
    <r>
      <rPr>
        <sz val="12"/>
        <rFont val="標楷體"/>
        <family val="4"/>
        <charset val="136"/>
      </rPr>
      <t>微生物分散劑</t>
    </r>
    <r>
      <rPr>
        <sz val="12"/>
        <rFont val="GE Inspira"/>
        <family val="2"/>
      </rPr>
      <t xml:space="preserve">   kg (</t>
    </r>
    <r>
      <rPr>
        <sz val="12"/>
        <rFont val="標楷體"/>
        <family val="4"/>
        <charset val="136"/>
      </rPr>
      <t>實際</t>
    </r>
    <r>
      <rPr>
        <sz val="12"/>
        <rFont val="GE Inspira"/>
        <family val="2"/>
      </rPr>
      <t>)</t>
    </r>
    <phoneticPr fontId="3" type="noConversion"/>
  </si>
  <si>
    <r>
      <t xml:space="preserve">ppm </t>
    </r>
    <r>
      <rPr>
        <sz val="12"/>
        <rFont val="標楷體"/>
        <family val="4"/>
        <charset val="136"/>
      </rPr>
      <t>分散劑</t>
    </r>
    <r>
      <rPr>
        <sz val="12"/>
        <rFont val="GE Inspira"/>
        <family val="2"/>
      </rPr>
      <t>TKC-3635</t>
    </r>
    <phoneticPr fontId="3" type="noConversion"/>
  </si>
  <si>
    <t>45~55</t>
    <phoneticPr fontId="3" type="noConversion"/>
  </si>
  <si>
    <r>
      <rPr>
        <sz val="12"/>
        <rFont val="標楷體"/>
        <family val="4"/>
        <charset val="136"/>
      </rPr>
      <t>硫酸</t>
    </r>
    <r>
      <rPr>
        <sz val="12"/>
        <rFont val="GE Inspira"/>
        <family val="2"/>
      </rPr>
      <t xml:space="preserve">  </t>
    </r>
    <r>
      <rPr>
        <sz val="12"/>
        <rFont val="標楷體"/>
        <family val="4"/>
        <charset val="136"/>
      </rPr>
      <t>‧</t>
    </r>
    <r>
      <rPr>
        <sz val="12"/>
        <rFont val="GE Inspira"/>
        <family val="2"/>
      </rPr>
      <t xml:space="preserve">  kg</t>
    </r>
    <phoneticPr fontId="3" type="noConversion"/>
  </si>
  <si>
    <r>
      <t xml:space="preserve">ppm </t>
    </r>
    <r>
      <rPr>
        <sz val="12"/>
        <rFont val="標楷體"/>
        <family val="4"/>
        <charset val="136"/>
      </rPr>
      <t>銅腐蝕抑制劑</t>
    </r>
    <phoneticPr fontId="3" type="noConversion"/>
  </si>
  <si>
    <r>
      <rPr>
        <sz val="12"/>
        <rFont val="標楷體"/>
        <family val="4"/>
        <charset val="136"/>
      </rPr>
      <t>漂白水</t>
    </r>
    <r>
      <rPr>
        <sz val="12"/>
        <rFont val="GE Inspira"/>
        <family val="2"/>
      </rPr>
      <t xml:space="preserve">  </t>
    </r>
    <r>
      <rPr>
        <sz val="12"/>
        <rFont val="標楷體"/>
        <family val="4"/>
        <charset val="136"/>
      </rPr>
      <t>‧</t>
    </r>
    <r>
      <rPr>
        <sz val="12"/>
        <rFont val="GE Inspira"/>
        <family val="2"/>
      </rPr>
      <t xml:space="preserve">  kg</t>
    </r>
    <phoneticPr fontId="3" type="noConversion"/>
  </si>
  <si>
    <r>
      <t>SS, ppm (</t>
    </r>
    <r>
      <rPr>
        <sz val="12"/>
        <rFont val="標楷體"/>
        <family val="4"/>
        <charset val="136"/>
      </rPr>
      <t>懸浮固體物</t>
    </r>
    <r>
      <rPr>
        <sz val="12"/>
        <rFont val="GE Inspira"/>
        <family val="2"/>
      </rPr>
      <t>)</t>
    </r>
    <phoneticPr fontId="3" type="noConversion"/>
  </si>
  <si>
    <t>&lt;10</t>
    <phoneticPr fontId="3" type="noConversion"/>
  </si>
  <si>
    <r>
      <rPr>
        <sz val="12"/>
        <rFont val="標楷體"/>
        <family val="4"/>
        <charset val="136"/>
      </rPr>
      <t>殘餘氯</t>
    </r>
    <r>
      <rPr>
        <sz val="12"/>
        <rFont val="GE Inspira"/>
        <family val="2"/>
      </rPr>
      <t xml:space="preserve"> (R-Cl) ppm</t>
    </r>
    <phoneticPr fontId="3" type="noConversion"/>
  </si>
  <si>
    <t>0.02~0.15</t>
    <phoneticPr fontId="3" type="noConversion"/>
  </si>
  <si>
    <r>
      <rPr>
        <sz val="12"/>
        <rFont val="標楷體"/>
        <family val="4"/>
        <charset val="136"/>
      </rPr>
      <t>菌落數</t>
    </r>
    <r>
      <rPr>
        <sz val="12"/>
        <rFont val="GE Inspira"/>
        <family val="2"/>
      </rPr>
      <t xml:space="preserve"> (colonies/mL)</t>
    </r>
    <phoneticPr fontId="3" type="noConversion"/>
  </si>
  <si>
    <r>
      <t>Turbidity, NTU  (</t>
    </r>
    <r>
      <rPr>
        <sz val="12"/>
        <rFont val="標楷體"/>
        <family val="4"/>
        <charset val="136"/>
      </rPr>
      <t>混濁度</t>
    </r>
    <r>
      <rPr>
        <sz val="12"/>
        <rFont val="GE Inspira"/>
        <family val="2"/>
      </rPr>
      <t>)</t>
    </r>
    <phoneticPr fontId="3" type="noConversion"/>
  </si>
  <si>
    <r>
      <t>Oil , ppm  (</t>
    </r>
    <r>
      <rPr>
        <sz val="12"/>
        <rFont val="標楷體"/>
        <family val="4"/>
        <charset val="136"/>
      </rPr>
      <t>油份</t>
    </r>
    <r>
      <rPr>
        <sz val="12"/>
        <rFont val="GE Inspira"/>
        <family val="2"/>
      </rPr>
      <t>)</t>
    </r>
    <phoneticPr fontId="3" type="noConversion"/>
  </si>
  <si>
    <t>&lt;5</t>
    <phoneticPr fontId="3" type="noConversion"/>
  </si>
  <si>
    <r>
      <t>Manganese  as  Mn, ppb  (</t>
    </r>
    <r>
      <rPr>
        <sz val="12"/>
        <rFont val="標楷體"/>
        <family val="4"/>
        <charset val="136"/>
      </rPr>
      <t>錳</t>
    </r>
    <r>
      <rPr>
        <sz val="12"/>
        <rFont val="GE Inspira"/>
        <family val="2"/>
      </rPr>
      <t>)</t>
    </r>
    <phoneticPr fontId="3" type="noConversion"/>
  </si>
  <si>
    <r>
      <t>Al, (ppb)  (</t>
    </r>
    <r>
      <rPr>
        <sz val="12"/>
        <rFont val="標楷體"/>
        <family val="4"/>
        <charset val="136"/>
      </rPr>
      <t>鋁</t>
    </r>
    <r>
      <rPr>
        <sz val="12"/>
        <rFont val="GE Inspira"/>
        <family val="2"/>
      </rPr>
      <t>)</t>
    </r>
    <phoneticPr fontId="3" type="noConversion"/>
  </si>
  <si>
    <r>
      <t>NH</t>
    </r>
    <r>
      <rPr>
        <vertAlign val="subscript"/>
        <sz val="12"/>
        <rFont val="GE Inspira"/>
        <family val="2"/>
      </rPr>
      <t>3</t>
    </r>
    <r>
      <rPr>
        <sz val="12"/>
        <rFont val="GE Inspira"/>
        <family val="2"/>
      </rPr>
      <t>-N (ppm)  (</t>
    </r>
    <r>
      <rPr>
        <sz val="12"/>
        <rFont val="標楷體"/>
        <family val="4"/>
        <charset val="136"/>
      </rPr>
      <t>氨氮</t>
    </r>
    <r>
      <rPr>
        <sz val="12"/>
        <rFont val="GE Inspira"/>
        <family val="2"/>
      </rPr>
      <t>)</t>
    </r>
    <phoneticPr fontId="3" type="noConversion"/>
  </si>
  <si>
    <r>
      <rPr>
        <sz val="12"/>
        <rFont val="標楷體"/>
        <family val="4"/>
        <charset val="136"/>
      </rPr>
      <t>濃縮倍數</t>
    </r>
    <phoneticPr fontId="3" type="noConversion"/>
  </si>
  <si>
    <r>
      <rPr>
        <sz val="12"/>
        <rFont val="標楷體"/>
        <family val="4"/>
        <charset val="136"/>
      </rPr>
      <t>一階腐蝕抑制劑</t>
    </r>
    <r>
      <rPr>
        <sz val="12"/>
        <rFont val="GE Inspira"/>
        <family val="2"/>
      </rPr>
      <t>(</t>
    </r>
    <r>
      <rPr>
        <sz val="12"/>
        <rFont val="標楷體"/>
        <family val="4"/>
        <charset val="136"/>
      </rPr>
      <t>合約週用量</t>
    </r>
    <r>
      <rPr>
        <sz val="12"/>
        <rFont val="GE Inspira"/>
        <family val="2"/>
      </rPr>
      <t>)</t>
    </r>
    <phoneticPr fontId="3" type="noConversion"/>
  </si>
  <si>
    <t>LSI</t>
    <phoneticPr fontId="3" type="noConversion"/>
  </si>
  <si>
    <t>&lt;2.5</t>
    <phoneticPr fontId="3" type="noConversion"/>
  </si>
  <si>
    <r>
      <rPr>
        <sz val="12"/>
        <rFont val="標楷體"/>
        <family val="4"/>
        <charset val="136"/>
      </rPr>
      <t>一階分散劑</t>
    </r>
    <r>
      <rPr>
        <sz val="12"/>
        <rFont val="GE Inspira"/>
        <family val="2"/>
      </rPr>
      <t>(</t>
    </r>
    <r>
      <rPr>
        <sz val="12"/>
        <rFont val="標楷體"/>
        <family val="4"/>
        <charset val="136"/>
      </rPr>
      <t>合約週用量</t>
    </r>
    <r>
      <rPr>
        <sz val="12"/>
        <rFont val="GE Inspira"/>
        <family val="2"/>
      </rPr>
      <t>)</t>
    </r>
    <phoneticPr fontId="3" type="noConversion"/>
  </si>
  <si>
    <t>RSI</t>
    <phoneticPr fontId="3" type="noConversion"/>
  </si>
  <si>
    <t>5.5~7.0</t>
    <phoneticPr fontId="3" type="noConversion"/>
  </si>
  <si>
    <r>
      <rPr>
        <sz val="12"/>
        <rFont val="標楷體"/>
        <family val="4"/>
        <charset val="136"/>
      </rPr>
      <t>一階銅腐蝕抑制劑</t>
    </r>
    <r>
      <rPr>
        <sz val="12"/>
        <rFont val="GE Inspira"/>
        <family val="2"/>
      </rPr>
      <t>(</t>
    </r>
    <r>
      <rPr>
        <sz val="12"/>
        <rFont val="標楷體"/>
        <family val="4"/>
        <charset val="136"/>
      </rPr>
      <t>合約週用量</t>
    </r>
    <r>
      <rPr>
        <sz val="12"/>
        <rFont val="GE Inspira"/>
        <family val="2"/>
      </rPr>
      <t>)</t>
    </r>
    <phoneticPr fontId="3" type="noConversion"/>
  </si>
  <si>
    <r>
      <rPr>
        <sz val="12"/>
        <rFont val="標楷體"/>
        <family val="4"/>
        <charset val="136"/>
      </rPr>
      <t>二階腐蝕抑制劑</t>
    </r>
    <r>
      <rPr>
        <sz val="12"/>
        <rFont val="GE Inspira"/>
        <family val="2"/>
      </rPr>
      <t>(</t>
    </r>
    <r>
      <rPr>
        <sz val="12"/>
        <rFont val="標楷體"/>
        <family val="4"/>
        <charset val="136"/>
      </rPr>
      <t>合約週用量</t>
    </r>
    <r>
      <rPr>
        <sz val="12"/>
        <rFont val="GE Inspira"/>
        <family val="2"/>
      </rPr>
      <t>)</t>
    </r>
    <phoneticPr fontId="3" type="noConversion"/>
  </si>
  <si>
    <r>
      <rPr>
        <sz val="12"/>
        <rFont val="標楷體"/>
        <family val="4"/>
        <charset val="136"/>
      </rPr>
      <t>二階分散劑</t>
    </r>
    <r>
      <rPr>
        <sz val="12"/>
        <rFont val="GE Inspira"/>
        <family val="2"/>
      </rPr>
      <t>(</t>
    </r>
    <r>
      <rPr>
        <sz val="12"/>
        <rFont val="標楷體"/>
        <family val="4"/>
        <charset val="136"/>
      </rPr>
      <t>合約週用量</t>
    </r>
    <r>
      <rPr>
        <sz val="12"/>
        <rFont val="GE Inspira"/>
        <family val="2"/>
      </rPr>
      <t>)</t>
    </r>
    <phoneticPr fontId="3" type="noConversion"/>
  </si>
  <si>
    <r>
      <rPr>
        <sz val="12"/>
        <rFont val="標楷體"/>
        <family val="4"/>
        <charset val="136"/>
      </rPr>
      <t>二階銅腐蝕抑制劑</t>
    </r>
    <r>
      <rPr>
        <sz val="12"/>
        <rFont val="GE Inspira"/>
        <family val="2"/>
      </rPr>
      <t>(</t>
    </r>
    <r>
      <rPr>
        <sz val="12"/>
        <rFont val="標楷體"/>
        <family val="4"/>
        <charset val="136"/>
      </rPr>
      <t>合約週用量</t>
    </r>
    <r>
      <rPr>
        <sz val="12"/>
        <rFont val="GE Inspira"/>
        <family val="2"/>
      </rPr>
      <t>)</t>
    </r>
    <phoneticPr fontId="3" type="noConversion"/>
  </si>
  <si>
    <r>
      <rPr>
        <sz val="12"/>
        <rFont val="標楷體"/>
        <family val="4"/>
        <charset val="136"/>
      </rPr>
      <t>說明及建議</t>
    </r>
    <r>
      <rPr>
        <sz val="12"/>
        <rFont val="GE Inspira"/>
        <family val="2"/>
      </rPr>
      <t>:</t>
    </r>
    <phoneticPr fontId="3" type="noConversion"/>
  </si>
  <si>
    <t>Manager</t>
    <phoneticPr fontId="3" type="noConversion"/>
  </si>
  <si>
    <t>Technician</t>
    <phoneticPr fontId="12" type="noConversion"/>
  </si>
  <si>
    <t>Chemist</t>
    <phoneticPr fontId="3" type="noConversion"/>
  </si>
  <si>
    <t>吳  俊  賢</t>
    <phoneticPr fontId="3" type="noConversion"/>
  </si>
  <si>
    <t>歐  永  泰</t>
    <phoneticPr fontId="3" type="noConversion"/>
  </si>
  <si>
    <r>
      <rPr>
        <sz val="12"/>
        <color rgb="FF0000FF"/>
        <rFont val="標楷體"/>
        <family val="4"/>
        <charset val="136"/>
      </rPr>
      <t>一階</t>
    </r>
    <r>
      <rPr>
        <sz val="12"/>
        <color rgb="FF0000FF"/>
        <rFont val="GE Inspira"/>
        <family val="2"/>
      </rPr>
      <t>C.W</t>
    </r>
    <phoneticPr fontId="3" type="noConversion"/>
  </si>
  <si>
    <r>
      <rPr>
        <sz val="12"/>
        <color rgb="FF0000FF"/>
        <rFont val="標楷體"/>
        <family val="4"/>
        <charset val="136"/>
      </rPr>
      <t>二階</t>
    </r>
    <r>
      <rPr>
        <sz val="12"/>
        <color rgb="FF0000FF"/>
        <rFont val="GE Inspira"/>
        <family val="2"/>
      </rPr>
      <t>C.W</t>
    </r>
    <phoneticPr fontId="3" type="noConversion"/>
  </si>
  <si>
    <r>
      <rPr>
        <b/>
        <sz val="12"/>
        <color rgb="FF0000FF"/>
        <rFont val="標楷體"/>
        <family val="4"/>
        <charset val="136"/>
      </rPr>
      <t>≧</t>
    </r>
    <r>
      <rPr>
        <b/>
        <sz val="12"/>
        <color rgb="FF0000FF"/>
        <rFont val="GE Inspira"/>
        <family val="2"/>
      </rPr>
      <t>1.8</t>
    </r>
    <phoneticPr fontId="3" type="noConversion"/>
  </si>
  <si>
    <r>
      <t>3*10</t>
    </r>
    <r>
      <rPr>
        <b/>
        <vertAlign val="superscript"/>
        <sz val="12"/>
        <rFont val="標楷體"/>
        <family val="4"/>
        <charset val="136"/>
      </rPr>
      <t>3</t>
    </r>
    <phoneticPr fontId="3" type="noConversion"/>
  </si>
  <si>
    <r>
      <t>&lt;10</t>
    </r>
    <r>
      <rPr>
        <b/>
        <vertAlign val="superscript"/>
        <sz val="12"/>
        <color rgb="FF0000FF"/>
        <rFont val="GE Inspira"/>
        <family val="2"/>
      </rPr>
      <t>4</t>
    </r>
    <phoneticPr fontId="3" type="noConversion"/>
  </si>
  <si>
    <r>
      <t>TO</t>
    </r>
    <r>
      <rPr>
        <sz val="18"/>
        <color rgb="FF00B050"/>
        <rFont val="標楷體"/>
        <family val="4"/>
        <charset val="136"/>
      </rPr>
      <t>：中龍動力場</t>
    </r>
    <phoneticPr fontId="3" type="noConversion"/>
  </si>
  <si>
    <r>
      <t xml:space="preserve">6 </t>
    </r>
    <r>
      <rPr>
        <sz val="12"/>
        <rFont val="標楷體"/>
        <family val="4"/>
        <charset val="136"/>
      </rPr>
      <t>月</t>
    </r>
    <phoneticPr fontId="3" type="noConversion"/>
  </si>
  <si>
    <r>
      <t xml:space="preserve">30 </t>
    </r>
    <r>
      <rPr>
        <sz val="12"/>
        <rFont val="標楷體"/>
        <family val="4"/>
        <charset val="136"/>
      </rPr>
      <t>日</t>
    </r>
    <phoneticPr fontId="3" type="noConversion"/>
  </si>
  <si>
    <r>
      <t>10*10</t>
    </r>
    <r>
      <rPr>
        <b/>
        <vertAlign val="superscript"/>
        <sz val="12"/>
        <rFont val="標楷體"/>
        <family val="4"/>
        <charset val="136"/>
      </rPr>
      <t>3</t>
    </r>
    <phoneticPr fontId="3" type="noConversion"/>
  </si>
  <si>
    <r>
      <t>17*10</t>
    </r>
    <r>
      <rPr>
        <b/>
        <vertAlign val="superscript"/>
        <sz val="12"/>
        <rFont val="標楷體"/>
        <family val="4"/>
        <charset val="136"/>
      </rPr>
      <t>3</t>
    </r>
    <phoneticPr fontId="3" type="noConversion"/>
  </si>
  <si>
    <r>
      <t xml:space="preserve">7 </t>
    </r>
    <r>
      <rPr>
        <sz val="12"/>
        <rFont val="標楷體"/>
        <family val="4"/>
        <charset val="136"/>
      </rPr>
      <t>月</t>
    </r>
    <phoneticPr fontId="3" type="noConversion"/>
  </si>
  <si>
    <r>
      <t xml:space="preserve">09 </t>
    </r>
    <r>
      <rPr>
        <sz val="12"/>
        <rFont val="標楷體"/>
        <family val="4"/>
        <charset val="136"/>
      </rPr>
      <t>日</t>
    </r>
    <phoneticPr fontId="3" type="noConversion"/>
  </si>
  <si>
    <r>
      <t>8*10</t>
    </r>
    <r>
      <rPr>
        <b/>
        <vertAlign val="superscript"/>
        <sz val="12"/>
        <rFont val="標楷體"/>
        <family val="4"/>
        <charset val="136"/>
      </rPr>
      <t>3</t>
    </r>
    <phoneticPr fontId="3" type="noConversion"/>
  </si>
  <si>
    <r>
      <t xml:space="preserve">15 </t>
    </r>
    <r>
      <rPr>
        <sz val="12"/>
        <rFont val="標楷體"/>
        <family val="4"/>
        <charset val="136"/>
      </rPr>
      <t>日</t>
    </r>
    <phoneticPr fontId="3" type="noConversion"/>
  </si>
  <si>
    <r>
      <t>7*10</t>
    </r>
    <r>
      <rPr>
        <b/>
        <vertAlign val="superscript"/>
        <sz val="12"/>
        <rFont val="標楷體"/>
        <family val="4"/>
        <charset val="136"/>
      </rPr>
      <t>3</t>
    </r>
    <phoneticPr fontId="3" type="noConversion"/>
  </si>
  <si>
    <r>
      <t xml:space="preserve">22 </t>
    </r>
    <r>
      <rPr>
        <sz val="12"/>
        <rFont val="標楷體"/>
        <family val="4"/>
        <charset val="136"/>
      </rPr>
      <t>日</t>
    </r>
    <phoneticPr fontId="3" type="noConversion"/>
  </si>
  <si>
    <r>
      <t>6*10</t>
    </r>
    <r>
      <rPr>
        <b/>
        <vertAlign val="superscript"/>
        <sz val="12"/>
        <rFont val="標楷體"/>
        <family val="4"/>
        <charset val="136"/>
      </rPr>
      <t>3</t>
    </r>
    <phoneticPr fontId="3" type="noConversion"/>
  </si>
  <si>
    <r>
      <t>1*10</t>
    </r>
    <r>
      <rPr>
        <b/>
        <vertAlign val="superscript"/>
        <sz val="12"/>
        <rFont val="標楷體"/>
        <family val="4"/>
        <charset val="136"/>
      </rPr>
      <t>3</t>
    </r>
    <phoneticPr fontId="3" type="noConversion"/>
  </si>
  <si>
    <r>
      <t xml:space="preserve">29 </t>
    </r>
    <r>
      <rPr>
        <sz val="12"/>
        <rFont val="標楷體"/>
        <family val="4"/>
        <charset val="136"/>
      </rPr>
      <t>日</t>
    </r>
    <phoneticPr fontId="3" type="noConversion"/>
  </si>
  <si>
    <r>
      <t>4*10</t>
    </r>
    <r>
      <rPr>
        <b/>
        <vertAlign val="superscript"/>
        <sz val="12"/>
        <rFont val="標楷體"/>
        <family val="4"/>
        <charset val="136"/>
      </rPr>
      <t>3</t>
    </r>
    <phoneticPr fontId="3" type="noConversion"/>
  </si>
  <si>
    <r>
      <t xml:space="preserve">8 </t>
    </r>
    <r>
      <rPr>
        <sz val="12"/>
        <rFont val="標楷體"/>
        <family val="4"/>
        <charset val="136"/>
      </rPr>
      <t>月</t>
    </r>
    <phoneticPr fontId="3" type="noConversion"/>
  </si>
  <si>
    <r>
      <t xml:space="preserve">4 </t>
    </r>
    <r>
      <rPr>
        <sz val="12"/>
        <rFont val="標楷體"/>
        <family val="4"/>
        <charset val="136"/>
      </rPr>
      <t>日</t>
    </r>
    <phoneticPr fontId="3" type="noConversion"/>
  </si>
  <si>
    <r>
      <t xml:space="preserve">12 </t>
    </r>
    <r>
      <rPr>
        <sz val="12"/>
        <rFont val="標楷體"/>
        <family val="4"/>
        <charset val="136"/>
      </rPr>
      <t>日</t>
    </r>
    <phoneticPr fontId="3" type="noConversion"/>
  </si>
  <si>
    <r>
      <t>2*10</t>
    </r>
    <r>
      <rPr>
        <b/>
        <vertAlign val="superscript"/>
        <sz val="12"/>
        <rFont val="標楷體"/>
        <family val="4"/>
        <charset val="136"/>
      </rPr>
      <t>3</t>
    </r>
    <phoneticPr fontId="3" type="noConversion"/>
  </si>
  <si>
    <r>
      <t xml:space="preserve">19 </t>
    </r>
    <r>
      <rPr>
        <sz val="12"/>
        <rFont val="標楷體"/>
        <family val="4"/>
        <charset val="136"/>
      </rPr>
      <t>日</t>
    </r>
    <phoneticPr fontId="3" type="noConversion"/>
  </si>
  <si>
    <r>
      <t xml:space="preserve">26 </t>
    </r>
    <r>
      <rPr>
        <sz val="12"/>
        <rFont val="標楷體"/>
        <family val="4"/>
        <charset val="136"/>
      </rPr>
      <t>日</t>
    </r>
    <phoneticPr fontId="3" type="noConversion"/>
  </si>
  <si>
    <t>1.一階、二階冷卻水:銅腐蝕抑制劑不足，請加大銅腐蝕抑制劑pump衝程3%</t>
    <phoneticPr fontId="2" type="noConversion"/>
  </si>
  <si>
    <t>800~1250</t>
    <phoneticPr fontId="24" type="noConversion"/>
  </si>
  <si>
    <t>&lt;250</t>
    <phoneticPr fontId="24" type="noConversion"/>
  </si>
  <si>
    <t>&lt;200</t>
    <phoneticPr fontId="24" type="noConversion"/>
  </si>
  <si>
    <t>3~8</t>
    <phoneticPr fontId="24" type="noConversion"/>
  </si>
  <si>
    <t>&gt;1.0</t>
    <phoneticPr fontId="24" type="noConversion"/>
  </si>
  <si>
    <t>&gt;3</t>
    <phoneticPr fontId="24" type="noConversion"/>
  </si>
  <si>
    <r>
      <rPr>
        <b/>
        <sz val="14"/>
        <color indexed="12"/>
        <rFont val="細明體"/>
        <family val="3"/>
        <charset val="136"/>
      </rPr>
      <t>≧</t>
    </r>
    <r>
      <rPr>
        <b/>
        <sz val="14"/>
        <color indexed="12"/>
        <rFont val="GE Inspira"/>
        <family val="2"/>
      </rPr>
      <t>1.8</t>
    </r>
    <phoneticPr fontId="24" type="noConversion"/>
  </si>
  <si>
    <r>
      <t>&lt;10</t>
    </r>
    <r>
      <rPr>
        <b/>
        <vertAlign val="superscript"/>
        <sz val="14"/>
        <color indexed="12"/>
        <rFont val="GE Inspira"/>
        <family val="2"/>
      </rPr>
      <t>4</t>
    </r>
    <phoneticPr fontId="3" type="noConversion"/>
  </si>
  <si>
    <t>&lt;10</t>
    <phoneticPr fontId="24" type="noConversion"/>
  </si>
  <si>
    <t>&lt;5</t>
    <phoneticPr fontId="24" type="noConversion"/>
  </si>
  <si>
    <t>&lt;2.5</t>
    <phoneticPr fontId="24" type="noConversion"/>
  </si>
  <si>
    <t>C.W</t>
    <phoneticPr fontId="3" type="noConversion"/>
  </si>
  <si>
    <t>CW</t>
  </si>
  <si>
    <r>
      <t>1.</t>
    </r>
    <r>
      <rPr>
        <sz val="12"/>
        <rFont val="微軟正黑體"/>
        <family val="2"/>
        <charset val="136"/>
      </rPr>
      <t>一階、二階冷卻水</t>
    </r>
    <r>
      <rPr>
        <sz val="12"/>
        <rFont val="Arial"/>
        <family val="2"/>
      </rPr>
      <t>:</t>
    </r>
    <r>
      <rPr>
        <sz val="12"/>
        <rFont val="微軟正黑體"/>
        <family val="2"/>
        <charset val="136"/>
      </rPr>
      <t>銅腐蝕抑制劑不足，請加大銅腐蝕抑制劑</t>
    </r>
    <r>
      <rPr>
        <sz val="12"/>
        <rFont val="Arial"/>
        <family val="2"/>
      </rPr>
      <t>pump</t>
    </r>
    <r>
      <rPr>
        <sz val="12"/>
        <rFont val="微軟正黑體"/>
        <family val="2"/>
        <charset val="136"/>
      </rPr>
      <t>衝程5</t>
    </r>
    <r>
      <rPr>
        <sz val="12"/>
        <rFont val="Arial"/>
        <family val="2"/>
      </rPr>
      <t>%</t>
    </r>
    <phoneticPr fontId="2" type="noConversion"/>
  </si>
  <si>
    <t>1.一階、二階冷卻水:銅腐蝕抑制劑不足，請加大銅腐蝕抑制劑pump衝程5%</t>
    <phoneticPr fontId="2" type="noConversion"/>
  </si>
  <si>
    <r>
      <t>1.</t>
    </r>
    <r>
      <rPr>
        <sz val="12"/>
        <rFont val="微軟正黑體"/>
        <family val="2"/>
        <charset val="136"/>
      </rPr>
      <t>一階、二階冷卻水</t>
    </r>
    <r>
      <rPr>
        <sz val="12"/>
        <rFont val="Arial"/>
        <family val="2"/>
      </rPr>
      <t>:</t>
    </r>
    <r>
      <rPr>
        <sz val="12"/>
        <rFont val="微軟正黑體"/>
        <family val="2"/>
        <charset val="136"/>
      </rPr>
      <t>銅腐蝕抑制劑不足，請加大銅腐蝕抑制劑</t>
    </r>
    <r>
      <rPr>
        <sz val="12"/>
        <rFont val="Arial"/>
        <family val="2"/>
      </rPr>
      <t>pump</t>
    </r>
    <r>
      <rPr>
        <sz val="12"/>
        <rFont val="微軟正黑體"/>
        <family val="2"/>
        <charset val="136"/>
      </rPr>
      <t>衝程</t>
    </r>
    <r>
      <rPr>
        <sz val="12"/>
        <rFont val="Arial"/>
        <family val="2"/>
      </rPr>
      <t xml:space="preserve">10%                                                                                                                 </t>
    </r>
    <r>
      <rPr>
        <sz val="12"/>
        <rFont val="GE Inspira"/>
        <family val="2"/>
      </rPr>
      <t>2.</t>
    </r>
    <r>
      <rPr>
        <sz val="12"/>
        <rFont val="微軟正黑體"/>
        <family val="2"/>
        <charset val="136"/>
      </rPr>
      <t>因濃縮倍數</t>
    </r>
    <r>
      <rPr>
        <sz val="12"/>
        <rFont val="Arial"/>
        <family val="2"/>
      </rPr>
      <t>CT-1:9.1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CT-2:9.6</t>
    </r>
    <r>
      <rPr>
        <sz val="12"/>
        <rFont val="微軟正黑體"/>
        <family val="2"/>
        <charset val="136"/>
      </rPr>
      <t>，故調降導電度設定值；</t>
    </r>
    <r>
      <rPr>
        <sz val="12"/>
        <rFont val="Arial"/>
        <family val="2"/>
      </rPr>
      <t>CT-1:2290-2310(</t>
    </r>
    <r>
      <rPr>
        <sz val="12"/>
        <rFont val="微軟正黑體"/>
        <family val="2"/>
        <charset val="136"/>
      </rPr>
      <t>下修</t>
    </r>
    <r>
      <rPr>
        <sz val="12"/>
        <rFont val="Arial"/>
        <family val="2"/>
      </rPr>
      <t>50)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CT-2:2150-2160(</t>
    </r>
    <r>
      <rPr>
        <sz val="12"/>
        <rFont val="微軟正黑體"/>
        <family val="2"/>
        <charset val="136"/>
      </rPr>
      <t>下修</t>
    </r>
    <r>
      <rPr>
        <sz val="12"/>
        <rFont val="Arial"/>
        <family val="2"/>
      </rPr>
      <t>100)</t>
    </r>
    <phoneticPr fontId="2" type="noConversion"/>
  </si>
  <si>
    <r>
      <rPr>
        <sz val="14"/>
        <color indexed="8"/>
        <rFont val="標楷體"/>
        <family val="4"/>
        <charset val="136"/>
      </rPr>
      <t>控制界限</t>
    </r>
  </si>
  <si>
    <t>900~1000</t>
    <phoneticPr fontId="24" type="noConversion"/>
  </si>
  <si>
    <t>&lt;300</t>
    <phoneticPr fontId="24" type="noConversion"/>
  </si>
  <si>
    <t>&lt;150</t>
    <phoneticPr fontId="24" type="noConversion"/>
  </si>
  <si>
    <t>1~5</t>
    <phoneticPr fontId="24" type="noConversion"/>
  </si>
  <si>
    <t>45~55</t>
    <phoneticPr fontId="24" type="noConversion"/>
  </si>
  <si>
    <r>
      <rPr>
        <sz val="12"/>
        <color indexed="12"/>
        <rFont val="Microsoft JhengHei"/>
        <family val="2"/>
      </rPr>
      <t>一階</t>
    </r>
    <r>
      <rPr>
        <sz val="12"/>
        <color indexed="12"/>
        <rFont val="Calibri"/>
        <family val="2"/>
      </rPr>
      <t>C.W</t>
    </r>
    <phoneticPr fontId="3" type="noConversion"/>
  </si>
  <si>
    <r>
      <rPr>
        <sz val="12"/>
        <color indexed="12"/>
        <rFont val="Microsoft JhengHei"/>
        <family val="2"/>
      </rPr>
      <t>二階</t>
    </r>
    <r>
      <rPr>
        <sz val="12"/>
        <color indexed="12"/>
        <rFont val="Calibri"/>
        <family val="2"/>
      </rPr>
      <t>C.W</t>
    </r>
    <phoneticPr fontId="3" type="noConversion"/>
  </si>
  <si>
    <r>
      <t xml:space="preserve">9 </t>
    </r>
    <r>
      <rPr>
        <sz val="12"/>
        <rFont val="標楷體"/>
        <family val="4"/>
        <charset val="136"/>
      </rPr>
      <t>日</t>
    </r>
    <phoneticPr fontId="3" type="noConversion"/>
  </si>
  <si>
    <t>台灣開廣</t>
    <phoneticPr fontId="2" type="noConversion"/>
  </si>
  <si>
    <t>VEOLIA</t>
    <phoneticPr fontId="2" type="noConversion"/>
  </si>
  <si>
    <r>
      <t xml:space="preserve">16 </t>
    </r>
    <r>
      <rPr>
        <sz val="12"/>
        <rFont val="標楷體"/>
        <family val="4"/>
        <charset val="136"/>
      </rPr>
      <t>日</t>
    </r>
    <phoneticPr fontId="3" type="noConversion"/>
  </si>
  <si>
    <t>&gt;1.5</t>
    <phoneticPr fontId="2" type="noConversion"/>
  </si>
  <si>
    <r>
      <t xml:space="preserve">23 </t>
    </r>
    <r>
      <rPr>
        <sz val="12"/>
        <rFont val="標楷體"/>
        <family val="4"/>
        <charset val="136"/>
      </rPr>
      <t>日</t>
    </r>
    <phoneticPr fontId="3" type="noConversion"/>
  </si>
  <si>
    <r>
      <t xml:space="preserve">10 </t>
    </r>
    <r>
      <rPr>
        <sz val="12"/>
        <rFont val="標楷體"/>
        <family val="4"/>
        <charset val="136"/>
      </rPr>
      <t>月</t>
    </r>
    <phoneticPr fontId="3" type="noConversion"/>
  </si>
  <si>
    <r>
      <t xml:space="preserve">7 </t>
    </r>
    <r>
      <rPr>
        <sz val="12"/>
        <rFont val="標楷體"/>
        <family val="4"/>
        <charset val="136"/>
      </rPr>
      <t>日</t>
    </r>
    <phoneticPr fontId="3" type="noConversion"/>
  </si>
  <si>
    <r>
      <t xml:space="preserve">14 </t>
    </r>
    <r>
      <rPr>
        <sz val="12"/>
        <rFont val="標楷體"/>
        <family val="4"/>
        <charset val="136"/>
      </rPr>
      <t>日</t>
    </r>
    <phoneticPr fontId="3" type="noConversion"/>
  </si>
  <si>
    <r>
      <t xml:space="preserve">21 </t>
    </r>
    <r>
      <rPr>
        <sz val="12"/>
        <rFont val="標楷體"/>
        <family val="4"/>
        <charset val="136"/>
      </rPr>
      <t>日</t>
    </r>
    <phoneticPr fontId="3" type="noConversion"/>
  </si>
  <si>
    <r>
      <t xml:space="preserve">27 </t>
    </r>
    <r>
      <rPr>
        <sz val="12"/>
        <rFont val="標楷體"/>
        <family val="4"/>
        <charset val="136"/>
      </rPr>
      <t>日</t>
    </r>
    <phoneticPr fontId="3" type="noConversion"/>
  </si>
  <si>
    <r>
      <t xml:space="preserve">11 </t>
    </r>
    <r>
      <rPr>
        <sz val="12"/>
        <rFont val="標楷體"/>
        <family val="4"/>
        <charset val="136"/>
      </rPr>
      <t>月</t>
    </r>
    <phoneticPr fontId="3" type="noConversion"/>
  </si>
  <si>
    <r>
      <t>5*10</t>
    </r>
    <r>
      <rPr>
        <b/>
        <vertAlign val="superscript"/>
        <sz val="12"/>
        <rFont val="標楷體"/>
        <family val="4"/>
        <charset val="136"/>
      </rPr>
      <t>3</t>
    </r>
    <phoneticPr fontId="3" type="noConversion"/>
  </si>
  <si>
    <r>
      <t xml:space="preserve">10 </t>
    </r>
    <r>
      <rPr>
        <sz val="12"/>
        <rFont val="標楷體"/>
        <family val="4"/>
        <charset val="136"/>
      </rPr>
      <t>日</t>
    </r>
    <phoneticPr fontId="3" type="noConversion"/>
  </si>
  <si>
    <t>&lt;0.02</t>
    <phoneticPr fontId="2" type="noConversion"/>
  </si>
  <si>
    <r>
      <t xml:space="preserve">17 </t>
    </r>
    <r>
      <rPr>
        <sz val="12"/>
        <rFont val="標楷體"/>
        <family val="4"/>
        <charset val="136"/>
      </rPr>
      <t>日</t>
    </r>
    <phoneticPr fontId="3" type="noConversion"/>
  </si>
  <si>
    <r>
      <t>1.</t>
    </r>
    <r>
      <rPr>
        <sz val="12"/>
        <rFont val="微軟正黑體"/>
        <family val="2"/>
        <charset val="136"/>
      </rPr>
      <t>二階</t>
    </r>
    <r>
      <rPr>
        <sz val="12"/>
        <rFont val="Arial"/>
        <family val="2"/>
      </rPr>
      <t>C.W:</t>
    </r>
    <r>
      <rPr>
        <sz val="12"/>
        <rFont val="微軟正黑體"/>
        <family val="2"/>
        <charset val="136"/>
      </rPr>
      <t>分散劑超出控制值，將前往調降</t>
    </r>
    <r>
      <rPr>
        <sz val="12"/>
        <rFont val="Arial"/>
        <family val="2"/>
      </rPr>
      <t>pump</t>
    </r>
    <r>
      <rPr>
        <sz val="12"/>
        <rFont val="微軟正黑體"/>
        <family val="2"/>
        <charset val="136"/>
      </rPr>
      <t>衝程</t>
    </r>
    <phoneticPr fontId="2" type="noConversion"/>
  </si>
  <si>
    <r>
      <t>1.</t>
    </r>
    <r>
      <rPr>
        <sz val="12"/>
        <rFont val="微軟正黑體"/>
        <family val="2"/>
        <charset val="136"/>
      </rPr>
      <t>一階</t>
    </r>
    <r>
      <rPr>
        <sz val="12"/>
        <rFont val="Arial"/>
        <family val="2"/>
      </rPr>
      <t>C.W:S.S</t>
    </r>
    <r>
      <rPr>
        <sz val="12"/>
        <rFont val="微軟正黑體"/>
        <family val="2"/>
        <charset val="136"/>
      </rPr>
      <t>數據偏控制上限，建議請增加逆洗次數。                                                                                                                                                             2.二階</t>
    </r>
    <r>
      <rPr>
        <sz val="12"/>
        <rFont val="Arial"/>
        <family val="2"/>
      </rPr>
      <t>C.W:</t>
    </r>
    <r>
      <rPr>
        <sz val="12"/>
        <rFont val="微軟正黑體"/>
        <family val="2"/>
        <charset val="136"/>
      </rPr>
      <t>分散劑超出控制值，將前往調降</t>
    </r>
    <r>
      <rPr>
        <sz val="12"/>
        <rFont val="Arial"/>
        <family val="2"/>
      </rPr>
      <t>pump</t>
    </r>
    <r>
      <rPr>
        <sz val="12"/>
        <rFont val="微軟正黑體"/>
        <family val="2"/>
        <charset val="136"/>
      </rPr>
      <t>衝程</t>
    </r>
    <phoneticPr fontId="2" type="noConversion"/>
  </si>
  <si>
    <r>
      <t xml:space="preserve">25 </t>
    </r>
    <r>
      <rPr>
        <sz val="12"/>
        <rFont val="標楷體"/>
        <family val="4"/>
        <charset val="136"/>
      </rPr>
      <t>日</t>
    </r>
    <phoneticPr fontId="3" type="noConversion"/>
  </si>
  <si>
    <r>
      <t>1.</t>
    </r>
    <r>
      <rPr>
        <sz val="12"/>
        <rFont val="微軟正黑體"/>
        <family val="2"/>
        <charset val="136"/>
      </rPr>
      <t>一階</t>
    </r>
    <r>
      <rPr>
        <sz val="12"/>
        <rFont val="Arial"/>
        <family val="2"/>
      </rPr>
      <t>C.W:S.S</t>
    </r>
    <r>
      <rPr>
        <sz val="12"/>
        <rFont val="微軟正黑體"/>
        <family val="2"/>
        <charset val="136"/>
      </rPr>
      <t xml:space="preserve">數據超出控制值，請增加逆洗次數。                                                                                                                                                             </t>
    </r>
    <phoneticPr fontId="2" type="noConversion"/>
  </si>
  <si>
    <r>
      <t xml:space="preserve">12 </t>
    </r>
    <r>
      <rPr>
        <sz val="12"/>
        <rFont val="標楷體"/>
        <family val="4"/>
        <charset val="136"/>
      </rPr>
      <t>月</t>
    </r>
    <phoneticPr fontId="3" type="noConversion"/>
  </si>
  <si>
    <r>
      <t>1.</t>
    </r>
    <r>
      <rPr>
        <sz val="12"/>
        <rFont val="微軟正黑體"/>
        <family val="2"/>
        <charset val="136"/>
      </rPr>
      <t>二階</t>
    </r>
    <r>
      <rPr>
        <sz val="12"/>
        <rFont val="Arial"/>
        <family val="2"/>
      </rPr>
      <t>C.W:S.S</t>
    </r>
    <r>
      <rPr>
        <sz val="12"/>
        <rFont val="微軟正黑體"/>
        <family val="2"/>
        <charset val="136"/>
      </rPr>
      <t xml:space="preserve">數據偏控制上限，建議請增加逆洗次數。                                                                                                                                                             </t>
    </r>
    <phoneticPr fontId="2" type="noConversion"/>
  </si>
  <si>
    <t xml:space="preserve">                                                                                                                                                            </t>
    <phoneticPr fontId="2" type="noConversion"/>
  </si>
  <si>
    <r>
      <t>1.</t>
    </r>
    <r>
      <rPr>
        <sz val="12"/>
        <rFont val="微軟正黑體"/>
        <family val="2"/>
        <charset val="136"/>
      </rPr>
      <t>一</t>
    </r>
    <r>
      <rPr>
        <sz val="12"/>
        <rFont val="細明體"/>
        <family val="3"/>
        <charset val="136"/>
      </rPr>
      <t>、</t>
    </r>
    <r>
      <rPr>
        <sz val="11.75"/>
        <rFont val="微軟正黑體"/>
        <family val="2"/>
        <charset val="136"/>
      </rPr>
      <t>二</t>
    </r>
    <r>
      <rPr>
        <sz val="12"/>
        <rFont val="微軟正黑體"/>
        <family val="2"/>
        <charset val="136"/>
      </rPr>
      <t>階</t>
    </r>
    <r>
      <rPr>
        <sz val="12"/>
        <rFont val="Arial"/>
        <family val="2"/>
      </rPr>
      <t>C.W:S.S</t>
    </r>
    <r>
      <rPr>
        <sz val="12"/>
        <rFont val="微軟正黑體"/>
        <family val="2"/>
        <charset val="136"/>
      </rPr>
      <t xml:space="preserve">數據偏控制上限，建議請增加逆洗次數。                                                                                                                                                             </t>
    </r>
    <phoneticPr fontId="2" type="noConversion"/>
  </si>
  <si>
    <r>
      <t>1.</t>
    </r>
    <r>
      <rPr>
        <sz val="12"/>
        <rFont val="微軟正黑體"/>
        <family val="2"/>
        <charset val="136"/>
      </rPr>
      <t>一階</t>
    </r>
    <r>
      <rPr>
        <sz val="12"/>
        <rFont val="Arial"/>
        <family val="2"/>
      </rPr>
      <t>C.W:</t>
    </r>
    <r>
      <rPr>
        <sz val="12"/>
        <rFont val="微軟正黑體"/>
        <family val="2"/>
        <charset val="136"/>
      </rPr>
      <t>鋅離子</t>
    </r>
    <r>
      <rPr>
        <sz val="12"/>
        <rFont val="細明體"/>
        <family val="3"/>
        <charset val="136"/>
      </rPr>
      <t>、</t>
    </r>
    <r>
      <rPr>
        <sz val="11.75"/>
        <rFont val="微軟正黑體"/>
        <family val="2"/>
        <charset val="136"/>
      </rPr>
      <t>銅腐蝕抑制劑不足，已於</t>
    </r>
    <r>
      <rPr>
        <sz val="11.75"/>
        <rFont val="Arial"/>
        <family val="2"/>
      </rPr>
      <t>(1/2)</t>
    </r>
    <r>
      <rPr>
        <sz val="11.75"/>
        <rFont val="微軟正黑體"/>
        <family val="2"/>
        <charset val="136"/>
      </rPr>
      <t>加大</t>
    </r>
    <r>
      <rPr>
        <sz val="11.75"/>
        <rFont val="Arial"/>
        <family val="2"/>
      </rPr>
      <t>pump</t>
    </r>
    <r>
      <rPr>
        <sz val="11.75"/>
        <rFont val="微軟正黑體"/>
        <family val="2"/>
        <charset val="136"/>
      </rPr>
      <t xml:space="preserve">衝程。                                                                                                                                                   </t>
    </r>
    <r>
      <rPr>
        <sz val="11.75"/>
        <rFont val="Arial"/>
        <family val="2"/>
      </rPr>
      <t>2.</t>
    </r>
    <r>
      <rPr>
        <sz val="11.75"/>
        <rFont val="微軟正黑體"/>
        <family val="2"/>
        <charset val="136"/>
      </rPr>
      <t>二</t>
    </r>
    <r>
      <rPr>
        <sz val="12"/>
        <rFont val="微軟正黑體"/>
        <family val="2"/>
        <charset val="136"/>
      </rPr>
      <t>階</t>
    </r>
    <r>
      <rPr>
        <sz val="12"/>
        <rFont val="Arial"/>
        <family val="2"/>
      </rPr>
      <t>C.W:S.S</t>
    </r>
    <r>
      <rPr>
        <sz val="12"/>
        <rFont val="微軟正黑體"/>
        <family val="2"/>
        <charset val="136"/>
      </rPr>
      <t xml:space="preserve">數據偏控制上限，建議請增加逆洗次數。                                                                                                                                                             </t>
    </r>
    <phoneticPr fontId="2" type="noConversion"/>
  </si>
  <si>
    <r>
      <t>SAMPLE DATE:       115</t>
    </r>
    <r>
      <rPr>
        <sz val="12"/>
        <rFont val="標楷體"/>
        <family val="4"/>
        <charset val="136"/>
      </rPr>
      <t>年</t>
    </r>
    <phoneticPr fontId="3" type="noConversion"/>
  </si>
  <si>
    <r>
      <t xml:space="preserve">1 </t>
    </r>
    <r>
      <rPr>
        <sz val="12"/>
        <rFont val="標楷體"/>
        <family val="4"/>
        <charset val="136"/>
      </rPr>
      <t>月</t>
    </r>
    <phoneticPr fontId="3" type="noConversion"/>
  </si>
  <si>
    <r>
      <t xml:space="preserve">6 </t>
    </r>
    <r>
      <rPr>
        <sz val="12"/>
        <rFont val="標楷體"/>
        <family val="4"/>
        <charset val="136"/>
      </rPr>
      <t>日</t>
    </r>
    <phoneticPr fontId="3" type="noConversion"/>
  </si>
  <si>
    <r>
      <t>1.</t>
    </r>
    <r>
      <rPr>
        <sz val="12"/>
        <rFont val="微軟正黑體"/>
        <family val="2"/>
        <charset val="136"/>
      </rPr>
      <t>一階</t>
    </r>
    <r>
      <rPr>
        <sz val="12"/>
        <rFont val="Arial"/>
        <family val="2"/>
      </rPr>
      <t>C.W:</t>
    </r>
    <r>
      <rPr>
        <sz val="12"/>
        <rFont val="微軟正黑體"/>
        <family val="2"/>
        <charset val="136"/>
      </rPr>
      <t>鋅離子不足，已調整</t>
    </r>
    <r>
      <rPr>
        <sz val="12"/>
        <rFont val="Arial"/>
        <family val="2"/>
      </rPr>
      <t>pump</t>
    </r>
    <r>
      <rPr>
        <sz val="12"/>
        <rFont val="微軟正黑體"/>
        <family val="2"/>
        <charset val="136"/>
      </rPr>
      <t xml:space="preserve">衝程，將持續觀察。               </t>
    </r>
    <r>
      <rPr>
        <sz val="11.75"/>
        <rFont val="微軟正黑體"/>
        <family val="2"/>
        <charset val="136"/>
      </rPr>
      <t xml:space="preserve">                                                                                                                                    </t>
    </r>
    <r>
      <rPr>
        <sz val="12"/>
        <rFont val="微軟正黑體"/>
        <family val="2"/>
        <charset val="136"/>
      </rPr>
      <t xml:space="preserve">                                                                                                                                                             </t>
    </r>
    <phoneticPr fontId="2" type="noConversion"/>
  </si>
  <si>
    <r>
      <t xml:space="preserve">13 </t>
    </r>
    <r>
      <rPr>
        <sz val="12"/>
        <rFont val="標楷體"/>
        <family val="4"/>
        <charset val="136"/>
      </rPr>
      <t>日</t>
    </r>
    <phoneticPr fontId="3" type="noConversion"/>
  </si>
  <si>
    <r>
      <rPr>
        <sz val="12"/>
        <rFont val="微軟正黑體"/>
        <family val="2"/>
        <charset val="136"/>
      </rPr>
      <t xml:space="preserve">            </t>
    </r>
    <r>
      <rPr>
        <sz val="11.75"/>
        <rFont val="微軟正黑體"/>
        <family val="2"/>
        <charset val="136"/>
      </rPr>
      <t xml:space="preserve">                                                                                                                                    </t>
    </r>
    <r>
      <rPr>
        <sz val="12"/>
        <rFont val="微軟正黑體"/>
        <family val="2"/>
        <charset val="136"/>
      </rPr>
      <t xml:space="preserve">                                                                                                                                                             </t>
    </r>
    <phoneticPr fontId="2" type="noConversion"/>
  </si>
  <si>
    <r>
      <t xml:space="preserve">2 </t>
    </r>
    <r>
      <rPr>
        <sz val="12"/>
        <rFont val="標楷體"/>
        <family val="4"/>
        <charset val="136"/>
      </rPr>
      <t>月</t>
    </r>
    <phoneticPr fontId="3" type="noConversion"/>
  </si>
  <si>
    <r>
      <t xml:space="preserve">3 </t>
    </r>
    <r>
      <rPr>
        <sz val="12"/>
        <rFont val="標楷體"/>
        <family val="4"/>
        <charset val="136"/>
      </rPr>
      <t>日</t>
    </r>
    <phoneticPr fontId="3" type="noConversion"/>
  </si>
  <si>
    <r>
      <rPr>
        <sz val="14"/>
        <rFont val="GE Inspira"/>
        <family val="2"/>
      </rPr>
      <t>1.CW-1</t>
    </r>
    <r>
      <rPr>
        <sz val="14"/>
        <rFont val="微軟正黑體"/>
        <family val="2"/>
        <charset val="136"/>
      </rPr>
      <t>，</t>
    </r>
    <r>
      <rPr>
        <sz val="14"/>
        <rFont val="Arial"/>
        <family val="2"/>
      </rPr>
      <t>CW-2:</t>
    </r>
    <r>
      <rPr>
        <sz val="14"/>
        <rFont val="微軟正黑體"/>
        <family val="2"/>
        <charset val="136"/>
      </rPr>
      <t>濃縮倍數偏低，請提高導電度設定值</t>
    </r>
    <r>
      <rPr>
        <sz val="14"/>
        <rFont val="Arial"/>
        <family val="2"/>
      </rPr>
      <t>100</t>
    </r>
    <phoneticPr fontId="2" type="noConversion"/>
  </si>
  <si>
    <r>
      <t>1.一</t>
    </r>
    <r>
      <rPr>
        <sz val="14"/>
        <rFont val="細明體"/>
        <family val="3"/>
        <charset val="136"/>
      </rPr>
      <t>、</t>
    </r>
    <r>
      <rPr>
        <sz val="14"/>
        <rFont val="GE Inspira"/>
        <family val="2"/>
      </rPr>
      <t xml:space="preserve">二階C.W:S.S數據偏控制上限，請注意。        </t>
    </r>
    <phoneticPr fontId="2" type="noConversion"/>
  </si>
  <si>
    <r>
      <t xml:space="preserve">3 </t>
    </r>
    <r>
      <rPr>
        <sz val="12"/>
        <rFont val="標楷體"/>
        <family val="4"/>
        <charset val="136"/>
      </rPr>
      <t>月</t>
    </r>
    <phoneticPr fontId="3" type="noConversion"/>
  </si>
  <si>
    <r>
      <t>1.</t>
    </r>
    <r>
      <rPr>
        <sz val="14"/>
        <rFont val="微軟正黑體"/>
        <family val="2"/>
        <charset val="136"/>
      </rPr>
      <t>一</t>
    </r>
    <r>
      <rPr>
        <sz val="14"/>
        <rFont val="細明體"/>
        <family val="3"/>
        <charset val="136"/>
      </rPr>
      <t>、</t>
    </r>
    <r>
      <rPr>
        <sz val="14"/>
        <rFont val="微軟正黑體"/>
        <family val="2"/>
        <charset val="136"/>
      </rPr>
      <t>二階</t>
    </r>
    <r>
      <rPr>
        <sz val="14"/>
        <rFont val="Arial"/>
        <family val="2"/>
      </rPr>
      <t>C.W:</t>
    </r>
    <r>
      <rPr>
        <sz val="14"/>
        <rFont val="微軟正黑體"/>
        <family val="2"/>
        <charset val="136"/>
      </rPr>
      <t xml:space="preserve">濃縮倍數偏低，建議請調高導電度設定值100 </t>
    </r>
    <r>
      <rPr>
        <sz val="14"/>
        <rFont val="Arial"/>
        <family val="2"/>
      </rPr>
      <t xml:space="preserve">        </t>
    </r>
    <phoneticPr fontId="2" type="noConversion"/>
  </si>
  <si>
    <r>
      <rPr>
        <sz val="14"/>
        <rFont val="微軟正黑體"/>
        <family val="2"/>
        <charset val="136"/>
      </rPr>
      <t xml:space="preserve"> </t>
    </r>
    <r>
      <rPr>
        <sz val="14"/>
        <rFont val="Arial"/>
        <family val="2"/>
      </rPr>
      <t xml:space="preserve">        </t>
    </r>
    <phoneticPr fontId="2" type="noConversion"/>
  </si>
  <si>
    <r>
      <t xml:space="preserve">24 </t>
    </r>
    <r>
      <rPr>
        <sz val="12"/>
        <rFont val="標楷體"/>
        <family val="4"/>
        <charset val="136"/>
      </rPr>
      <t>日</t>
    </r>
    <phoneticPr fontId="3" type="noConversion"/>
  </si>
  <si>
    <t>一階冷卻水分散劑不足，已於(4/2)加大pump衝程，持續觀察。</t>
    <phoneticPr fontId="2" type="noConversion"/>
  </si>
  <si>
    <r>
      <t xml:space="preserve">4 </t>
    </r>
    <r>
      <rPr>
        <sz val="12"/>
        <rFont val="標楷體"/>
        <family val="4"/>
        <charset val="136"/>
      </rPr>
      <t>月</t>
    </r>
    <phoneticPr fontId="3" type="noConversion"/>
  </si>
  <si>
    <t>一階冷卻水分散劑不足，將前往加大pump衝程。</t>
    <phoneticPr fontId="2" type="noConversion"/>
  </si>
  <si>
    <r>
      <t>1.</t>
    </r>
    <r>
      <rPr>
        <sz val="12"/>
        <rFont val="微軟正黑體"/>
        <family val="2"/>
        <charset val="136"/>
      </rPr>
      <t>二階</t>
    </r>
    <r>
      <rPr>
        <sz val="12"/>
        <rFont val="Arial"/>
        <family val="2"/>
      </rPr>
      <t>C.W:S.S</t>
    </r>
    <r>
      <rPr>
        <sz val="12"/>
        <rFont val="微軟正黑體"/>
        <family val="2"/>
        <charset val="136"/>
      </rPr>
      <t xml:space="preserve">數據超出控制值，建議請增加逆洗次數。                                                                                                                                                             </t>
    </r>
    <phoneticPr fontId="2" type="noConversion"/>
  </si>
  <si>
    <t>1.一階C.W:S.S數據超出控制值，建議請增加逆洗次數。</t>
    <phoneticPr fontId="2" type="noConversion"/>
  </si>
  <si>
    <r>
      <rPr>
        <sz val="12"/>
        <rFont val="微軟正黑體"/>
        <family val="2"/>
        <charset val="136"/>
      </rPr>
      <t>1.一</t>
    </r>
    <r>
      <rPr>
        <sz val="12"/>
        <rFont val="細明體"/>
        <family val="3"/>
        <charset val="136"/>
      </rPr>
      <t>、</t>
    </r>
    <r>
      <rPr>
        <sz val="12"/>
        <rFont val="微軟正黑體"/>
        <family val="2"/>
        <charset val="136"/>
      </rPr>
      <t>二階C.W:S.S數據偏控制值上限，建議請增加逆洗次數。</t>
    </r>
    <phoneticPr fontId="2" type="noConversion"/>
  </si>
  <si>
    <r>
      <t xml:space="preserve">5 </t>
    </r>
    <r>
      <rPr>
        <sz val="12"/>
        <rFont val="標楷體"/>
        <family val="4"/>
        <charset val="136"/>
      </rPr>
      <t>月</t>
    </r>
    <phoneticPr fontId="3" type="noConversion"/>
  </si>
  <si>
    <r>
      <t xml:space="preserve">5 </t>
    </r>
    <r>
      <rPr>
        <sz val="12"/>
        <rFont val="標楷體"/>
        <family val="4"/>
        <charset val="136"/>
      </rPr>
      <t>日</t>
    </r>
    <phoneticPr fontId="3" type="noConversion"/>
  </si>
  <si>
    <r>
      <t>1.一</t>
    </r>
    <r>
      <rPr>
        <sz val="12"/>
        <rFont val="細明體"/>
        <family val="3"/>
        <charset val="136"/>
      </rPr>
      <t>、</t>
    </r>
    <r>
      <rPr>
        <sz val="12"/>
        <rFont val="微軟正黑體"/>
        <family val="2"/>
        <charset val="136"/>
      </rPr>
      <t>二階C.W:S.S數據偏高，建議增加逆洗次數。</t>
    </r>
    <phoneticPr fontId="2" type="noConversion"/>
  </si>
  <si>
    <t>1.一階C.W:分散劑不足，已於(5/21)調整，將持續觀察。                                                                                                                                                2.一階C.W:S.S數據偏高，建議增加逆洗次數。</t>
    <phoneticPr fontId="2" type="noConversion"/>
  </si>
  <si>
    <t>1.二階C.W:pH超出控制值，因更新硫酸pump造成，已於(5/27)回復正常。                                                                                                                                                2.一、二階C.W:S.S數據偏高，建議增加逆洗次數。</t>
    <phoneticPr fontId="2" type="noConversion"/>
  </si>
  <si>
    <r>
      <t>Manganese  as  Mn, ppb  (</t>
    </r>
    <r>
      <rPr>
        <sz val="11"/>
        <rFont val="標楷體"/>
        <family val="4"/>
        <charset val="136"/>
      </rPr>
      <t>錳</t>
    </r>
    <r>
      <rPr>
        <sz val="11"/>
        <rFont val="GE Inspira"/>
        <family val="2"/>
      </rPr>
      <t>)</t>
    </r>
    <phoneticPr fontId="3" type="noConversion"/>
  </si>
  <si>
    <r>
      <t>9*10</t>
    </r>
    <r>
      <rPr>
        <b/>
        <vertAlign val="superscript"/>
        <sz val="12"/>
        <rFont val="標楷體"/>
        <family val="4"/>
        <charset val="136"/>
      </rPr>
      <t>3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</si>
</sst>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_ "/>
    <numFmt numFmtId="178" formatCode="0.00_);[Red]\(0.00\)"/>
  </numFmts>
  <fonts count="47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GE Inspira"/>
      <family val="2"/>
    </font>
    <font>
      <b/>
      <sz val="12"/>
      <name val="GE Inspira"/>
    </font>
    <font>
      <sz val="12"/>
      <name val="標楷體"/>
      <family val="4"/>
      <charset val="136"/>
    </font>
    <font>
      <sz val="12"/>
      <name val="GE Inspira"/>
      <family val="4"/>
      <charset val="136"/>
    </font>
    <font>
      <sz val="12"/>
      <name val="Segoe UI Symbol"/>
      <family val="4"/>
    </font>
    <font>
      <vertAlign val="subscript"/>
      <sz val="12"/>
      <name val="GE Inspira"/>
      <family val="2"/>
    </font>
    <font>
      <vertAlign val="superscript"/>
      <sz val="12"/>
      <name val="GE Inspira"/>
      <family val="2"/>
    </font>
    <font>
      <sz val="12"/>
      <name val="Arial"/>
      <family val="2"/>
    </font>
    <font>
      <sz val="9"/>
      <name val="細明體"/>
      <family val="3"/>
      <charset val="136"/>
    </font>
    <font>
      <sz val="12"/>
      <color rgb="FF0000FF"/>
      <name val="GE Inspira"/>
      <family val="2"/>
    </font>
    <font>
      <sz val="12"/>
      <color rgb="FF0000FF"/>
      <name val="標楷體"/>
      <family val="4"/>
      <charset val="136"/>
    </font>
    <font>
      <b/>
      <sz val="12"/>
      <name val="標楷體"/>
      <family val="4"/>
      <charset val="136"/>
    </font>
    <font>
      <b/>
      <sz val="12"/>
      <color rgb="FF0000FF"/>
      <name val="GE Inspira"/>
      <family val="2"/>
    </font>
    <font>
      <b/>
      <sz val="12"/>
      <color rgb="FF0000FF"/>
      <name val="標楷體"/>
      <family val="4"/>
      <charset val="136"/>
    </font>
    <font>
      <b/>
      <vertAlign val="superscript"/>
      <sz val="12"/>
      <name val="標楷體"/>
      <family val="4"/>
      <charset val="136"/>
    </font>
    <font>
      <b/>
      <vertAlign val="superscript"/>
      <sz val="12"/>
      <color rgb="FF0000FF"/>
      <name val="GE Inspira"/>
      <family val="2"/>
    </font>
    <font>
      <sz val="18"/>
      <color rgb="FF00B050"/>
      <name val="GE Inspira"/>
      <family val="2"/>
    </font>
    <font>
      <sz val="18"/>
      <color rgb="FF00B050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4"/>
      <color indexed="12"/>
      <name val="GE Inspira"/>
      <family val="2"/>
    </font>
    <font>
      <sz val="16"/>
      <name val="GE Inspira"/>
      <family val="2"/>
    </font>
    <font>
      <b/>
      <sz val="14"/>
      <color indexed="12"/>
      <name val="細明體"/>
      <family val="3"/>
      <charset val="136"/>
    </font>
    <font>
      <b/>
      <vertAlign val="superscript"/>
      <sz val="14"/>
      <color indexed="12"/>
      <name val="GE Inspira"/>
      <family val="2"/>
    </font>
    <font>
      <sz val="14"/>
      <color indexed="8"/>
      <name val="細明體"/>
      <family val="3"/>
      <charset val="136"/>
    </font>
    <font>
      <sz val="14"/>
      <name val="GE Inspira"/>
      <family val="2"/>
    </font>
    <font>
      <sz val="14"/>
      <color indexed="8"/>
      <name val="GE Inspira"/>
      <family val="2"/>
    </font>
    <font>
      <b/>
      <sz val="14"/>
      <color indexed="61"/>
      <name val="GE Inspira"/>
      <family val="2"/>
    </font>
    <font>
      <b/>
      <sz val="14"/>
      <color rgb="FF0000FF"/>
      <name val="GE Inspira"/>
      <family val="2"/>
    </font>
    <font>
      <sz val="12"/>
      <name val="微軟正黑體"/>
      <family val="2"/>
      <charset val="136"/>
    </font>
    <font>
      <sz val="14"/>
      <color indexed="8"/>
      <name val="標楷體"/>
      <family val="4"/>
      <charset val="136"/>
    </font>
    <font>
      <sz val="12"/>
      <color indexed="12"/>
      <name val="Microsoft JhengHei"/>
      <family val="2"/>
    </font>
    <font>
      <sz val="12"/>
      <color indexed="12"/>
      <name val="Calibri"/>
      <family val="2"/>
    </font>
    <font>
      <sz val="14"/>
      <color rgb="FF0000FF"/>
      <name val="GE Inspira"/>
      <family val="2"/>
    </font>
    <font>
      <sz val="11.75"/>
      <name val="微軟正黑體"/>
      <family val="2"/>
      <charset val="136"/>
    </font>
    <font>
      <sz val="12"/>
      <name val="細明體"/>
      <family val="3"/>
      <charset val="136"/>
    </font>
    <font>
      <sz val="11.75"/>
      <name val="Arial"/>
      <family val="2"/>
    </font>
    <font>
      <sz val="14"/>
      <name val="微軟正黑體"/>
      <family val="2"/>
      <charset val="136"/>
    </font>
    <font>
      <sz val="14"/>
      <name val="Arial"/>
      <family val="2"/>
    </font>
    <font>
      <sz val="14"/>
      <name val="細明體"/>
      <family val="3"/>
      <charset val="136"/>
    </font>
    <font>
      <sz val="14"/>
      <name val="GE Inspira"/>
      <family val="2"/>
      <charset val="136"/>
    </font>
    <font>
      <sz val="10"/>
      <name val="標楷體"/>
      <family val="4"/>
      <charset val="136"/>
    </font>
    <font>
      <sz val="11"/>
      <name val="GE Inspira"/>
      <family val="2"/>
    </font>
    <font>
      <sz val="1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116">
    <xf numFmtId="0" fontId="0" fillId="0" borderId="0" xfId="0">
      <alignment vertical="center"/>
    </xf>
    <xf numFmtId="0" fontId="4" fillId="0" borderId="2" xfId="1" applyFont="1" applyBorder="1">
      <alignment vertical="center"/>
    </xf>
    <xf numFmtId="0" fontId="4" fillId="0" borderId="3" xfId="1" applyFont="1" applyBorder="1">
      <alignment vertical="center"/>
    </xf>
    <xf numFmtId="0" fontId="4" fillId="0" borderId="0" xfId="1" applyFont="1">
      <alignment vertical="center"/>
    </xf>
    <xf numFmtId="0" fontId="5" fillId="0" borderId="1" xfId="1" applyFont="1" applyBorder="1">
      <alignment vertical="center"/>
    </xf>
    <xf numFmtId="0" fontId="4" fillId="0" borderId="4" xfId="1" applyFont="1" applyBorder="1">
      <alignment vertical="center"/>
    </xf>
    <xf numFmtId="0" fontId="4" fillId="0" borderId="5" xfId="1" applyFont="1" applyBorder="1">
      <alignment vertical="center"/>
    </xf>
    <xf numFmtId="0" fontId="4" fillId="0" borderId="6" xfId="1" applyFont="1" applyBorder="1">
      <alignment vertical="center"/>
    </xf>
    <xf numFmtId="0" fontId="4" fillId="0" borderId="7" xfId="1" applyFont="1" applyBorder="1" applyAlignment="1">
      <alignment horizontal="center" vertical="center"/>
    </xf>
    <xf numFmtId="0" fontId="4" fillId="0" borderId="7" xfId="1" applyFont="1" applyBorder="1">
      <alignment vertical="center"/>
    </xf>
    <xf numFmtId="0" fontId="4" fillId="0" borderId="8" xfId="1" applyFont="1" applyBorder="1">
      <alignment vertical="center"/>
    </xf>
    <xf numFmtId="0" fontId="4" fillId="0" borderId="1" xfId="1" applyFont="1" applyBorder="1">
      <alignment vertical="center"/>
    </xf>
    <xf numFmtId="0" fontId="4" fillId="0" borderId="9" xfId="1" applyFont="1" applyBorder="1" applyAlignment="1">
      <alignment horizontal="right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4" xfId="1" applyFont="1" applyBorder="1" applyAlignment="1">
      <alignment horizontal="left" vertical="center"/>
    </xf>
    <xf numFmtId="0" fontId="4" fillId="0" borderId="10" xfId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1" xfId="1" applyFont="1" applyBorder="1" applyAlignment="1">
      <alignment vertical="center" wrapText="1"/>
    </xf>
    <xf numFmtId="0" fontId="4" fillId="0" borderId="10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10" xfId="1" applyFont="1" applyBorder="1">
      <alignment vertical="center"/>
    </xf>
    <xf numFmtId="0" fontId="7" fillId="0" borderId="11" xfId="1" applyFont="1" applyBorder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20" fillId="0" borderId="1" xfId="1" applyFont="1" applyBorder="1">
      <alignment vertical="center"/>
    </xf>
    <xf numFmtId="2" fontId="15" fillId="0" borderId="11" xfId="0" applyNumberFormat="1" applyFont="1" applyBorder="1" applyAlignment="1">
      <alignment horizontal="center" vertical="center"/>
    </xf>
    <xf numFmtId="176" fontId="15" fillId="0" borderId="11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3" fillId="0" borderId="12" xfId="2" applyFont="1" applyBorder="1" applyAlignment="1">
      <alignment horizontal="center" vertical="center"/>
    </xf>
    <xf numFmtId="0" fontId="23" fillId="0" borderId="11" xfId="2" applyFont="1" applyBorder="1" applyAlignment="1">
      <alignment horizontal="center" vertical="center"/>
    </xf>
    <xf numFmtId="0" fontId="27" fillId="0" borderId="11" xfId="2" applyFont="1" applyBorder="1" applyAlignment="1">
      <alignment horizontal="center" vertical="center" wrapText="1"/>
    </xf>
    <xf numFmtId="0" fontId="28" fillId="0" borderId="11" xfId="2" applyFont="1" applyBorder="1" applyAlignment="1">
      <alignment horizontal="center" vertical="center"/>
    </xf>
    <xf numFmtId="0" fontId="29" fillId="0" borderId="11" xfId="1" applyFont="1" applyBorder="1" applyAlignment="1">
      <alignment horizontal="center" vertical="center"/>
    </xf>
    <xf numFmtId="177" fontId="28" fillId="0" borderId="11" xfId="2" applyNumberFormat="1" applyFont="1" applyBorder="1" applyAlignment="1">
      <alignment horizontal="center" vertical="center"/>
    </xf>
    <xf numFmtId="1" fontId="29" fillId="0" borderId="11" xfId="1" applyNumberFormat="1" applyFont="1" applyBorder="1" applyAlignment="1">
      <alignment horizontal="center" vertical="center"/>
    </xf>
    <xf numFmtId="1" fontId="28" fillId="0" borderId="11" xfId="2" applyNumberFormat="1" applyFont="1" applyBorder="1" applyAlignment="1">
      <alignment horizontal="center" vertical="center"/>
    </xf>
    <xf numFmtId="2" fontId="30" fillId="0" borderId="11" xfId="2" applyNumberFormat="1" applyFont="1" applyBorder="1" applyAlignment="1">
      <alignment horizontal="center" vertical="center"/>
    </xf>
    <xf numFmtId="178" fontId="30" fillId="2" borderId="11" xfId="2" applyNumberFormat="1" applyFont="1" applyFill="1" applyBorder="1" applyAlignment="1">
      <alignment horizontal="center" vertical="center"/>
    </xf>
    <xf numFmtId="0" fontId="28" fillId="0" borderId="9" xfId="2" applyFont="1" applyBorder="1" applyAlignment="1">
      <alignment horizontal="center" vertical="center"/>
    </xf>
    <xf numFmtId="0" fontId="31" fillId="0" borderId="11" xfId="2" applyFont="1" applyBorder="1" applyAlignment="1">
      <alignment horizontal="center" vertical="center"/>
    </xf>
    <xf numFmtId="0" fontId="29" fillId="0" borderId="29" xfId="2" applyFont="1" applyBorder="1" applyAlignment="1">
      <alignment horizontal="center" vertical="center" wrapText="1"/>
    </xf>
    <xf numFmtId="0" fontId="29" fillId="0" borderId="30" xfId="2" applyFont="1" applyBorder="1" applyAlignment="1">
      <alignment horizontal="center" vertical="center" wrapText="1"/>
    </xf>
    <xf numFmtId="0" fontId="23" fillId="0" borderId="31" xfId="2" applyFont="1" applyBorder="1" applyAlignment="1">
      <alignment horizontal="center" vertical="center"/>
    </xf>
    <xf numFmtId="0" fontId="16" fillId="0" borderId="11" xfId="2" applyFont="1" applyBorder="1" applyAlignment="1">
      <alignment horizontal="center" vertical="center"/>
    </xf>
    <xf numFmtId="0" fontId="13" fillId="0" borderId="31" xfId="2" applyFont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2" fontId="15" fillId="3" borderId="11" xfId="0" applyNumberFormat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36" fillId="0" borderId="33" xfId="2" applyFont="1" applyBorder="1" applyAlignment="1">
      <alignment horizontal="center" vertical="center" wrapText="1"/>
    </xf>
    <xf numFmtId="0" fontId="36" fillId="0" borderId="14" xfId="2" applyFont="1" applyBorder="1" applyAlignment="1">
      <alignment horizontal="center" vertical="center" wrapText="1"/>
    </xf>
    <xf numFmtId="176" fontId="15" fillId="3" borderId="11" xfId="0" applyNumberFormat="1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176" fontId="22" fillId="3" borderId="11" xfId="0" applyNumberFormat="1" applyFont="1" applyFill="1" applyBorder="1" applyAlignment="1">
      <alignment horizontal="center" vertical="center"/>
    </xf>
    <xf numFmtId="2" fontId="22" fillId="3" borderId="11" xfId="0" applyNumberFormat="1" applyFont="1" applyFill="1" applyBorder="1" applyAlignment="1">
      <alignment horizontal="center" vertical="center"/>
    </xf>
    <xf numFmtId="2" fontId="17" fillId="3" borderId="11" xfId="0" applyNumberFormat="1" applyFont="1" applyFill="1" applyBorder="1" applyAlignment="1">
      <alignment horizontal="center" vertical="center"/>
    </xf>
    <xf numFmtId="2" fontId="22" fillId="0" borderId="11" xfId="0" applyNumberFormat="1" applyFont="1" applyBorder="1" applyAlignment="1">
      <alignment horizontal="center" vertical="center"/>
    </xf>
    <xf numFmtId="0" fontId="45" fillId="0" borderId="11" xfId="1" applyFont="1" applyBorder="1">
      <alignment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32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4" fillId="0" borderId="17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17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4" fillId="0" borderId="20" xfId="1" applyFont="1" applyBorder="1" applyAlignment="1">
      <alignment horizontal="left" vertical="top" wrapText="1"/>
    </xf>
    <xf numFmtId="0" fontId="4" fillId="0" borderId="21" xfId="1" applyFont="1" applyBorder="1" applyAlignment="1">
      <alignment horizontal="left" vertical="top" wrapText="1"/>
    </xf>
    <xf numFmtId="0" fontId="4" fillId="0" borderId="22" xfId="1" applyFont="1" applyBorder="1" applyAlignment="1">
      <alignment horizontal="center" vertical="center"/>
    </xf>
    <xf numFmtId="0" fontId="11" fillId="0" borderId="23" xfId="1" applyFont="1" applyBorder="1" applyAlignment="1">
      <alignment horizontal="center"/>
    </xf>
    <xf numFmtId="0" fontId="11" fillId="0" borderId="13" xfId="1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0" fontId="4" fillId="0" borderId="23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7" xfId="1" applyFont="1" applyBorder="1" applyAlignment="1">
      <alignment horizontal="left" vertical="top"/>
    </xf>
    <xf numFmtId="0" fontId="4" fillId="0" borderId="0" xfId="1" applyFont="1" applyAlignment="1">
      <alignment horizontal="left" vertical="top"/>
    </xf>
    <xf numFmtId="0" fontId="4" fillId="0" borderId="5" xfId="1" applyFont="1" applyBorder="1" applyAlignment="1">
      <alignment horizontal="left" vertical="top"/>
    </xf>
    <xf numFmtId="0" fontId="4" fillId="0" borderId="19" xfId="1" applyFont="1" applyBorder="1" applyAlignment="1">
      <alignment horizontal="left" vertical="top"/>
    </xf>
    <xf numFmtId="0" fontId="4" fillId="0" borderId="20" xfId="1" applyFont="1" applyBorder="1" applyAlignment="1">
      <alignment horizontal="left" vertical="top"/>
    </xf>
    <xf numFmtId="0" fontId="4" fillId="0" borderId="21" xfId="1" applyFont="1" applyBorder="1" applyAlignment="1">
      <alignment horizontal="left" vertical="top"/>
    </xf>
    <xf numFmtId="0" fontId="4" fillId="0" borderId="1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32" fillId="0" borderId="17" xfId="1" applyFont="1" applyBorder="1" applyAlignment="1">
      <alignment horizontal="left" vertical="top" wrapText="1"/>
    </xf>
    <xf numFmtId="0" fontId="28" fillId="0" borderId="17" xfId="1" applyFont="1" applyBorder="1" applyAlignment="1">
      <alignment horizontal="left" vertical="top" wrapText="1"/>
    </xf>
    <xf numFmtId="0" fontId="43" fillId="0" borderId="17" xfId="1" applyFont="1" applyBorder="1" applyAlignment="1">
      <alignment horizontal="left" vertical="top" wrapText="1"/>
    </xf>
    <xf numFmtId="0" fontId="40" fillId="0" borderId="17" xfId="1" applyFont="1" applyBorder="1" applyAlignment="1">
      <alignment horizontal="left" vertical="top" wrapText="1"/>
    </xf>
  </cellXfs>
  <cellStyles count="3">
    <cellStyle name="Normal_BF水質單_動力工場冷卻水塔水質分析報告-9905" xfId="2" xr:uid="{98BE8C10-9F34-43E4-916D-BF9D0038E975}"/>
    <cellStyle name="一般" xfId="0" builtinId="0"/>
    <cellStyle name="一般 2" xfId="1" xr:uid="{4671FA0B-4968-4C28-B5E1-8ECF172C88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249D1313-7EF8-4745-BF03-115223594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41E3282C-C20C-4BA7-9DE7-41CBD84CF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419B84E2-DF68-4623-BB1F-1E319C73F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3965286A-9527-463C-8E22-1EFECB3CE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2684D0C2-6254-4027-BF3E-9D8188B23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E2250772-5022-457E-954E-D03AD69E6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6B22A386-2EFF-4D75-9D3E-74ACECB17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5264C0C5-2C32-462F-9A93-D2B58FF99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87AF1CCE-8030-43D2-8D2F-93196F1D6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CEA5EAF2-7343-4AD1-827E-7122E18B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B0AB4867-78D1-4D94-8356-9857AE7A2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30CC2371-6D99-40AA-84B7-1C1FD9141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0B33E7F4-5BF4-42C8-A243-410F15762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DB01FA35-9A35-4156-8018-B2AB4F69F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01252F7B-D252-431D-8754-C20A18D45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D119FD8E-4B7B-4222-B722-75F5F0630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2B1A7381-E436-414F-94A8-952ADE198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93AA6960-BE19-41EB-9BFB-B941BD9DB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6B0EA64C-30DF-4EC1-A204-30CB347FD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FB5C8C77-D38B-40F4-8632-3DF21FD0F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21FEBDA0-D22A-4DF0-A91E-466B15E0A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D788C5B3-779F-41A0-B53B-90FB26B3F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A3F4E1FD-8A87-4B65-A05A-ACAF9E53D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09425001-1CD4-40E8-AECE-6F4B05430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68E0B995-E699-42C0-BC3C-C0A269AC5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163E9502-C1A8-48A4-85D7-772E6886C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1FABA1EB-78C6-4785-88CC-6CC642DB6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66675</xdr:rowOff>
    </xdr:from>
    <xdr:to>
      <xdr:col>8</xdr:col>
      <xdr:colOff>1047750</xdr:colOff>
      <xdr:row>3</xdr:row>
      <xdr:rowOff>238125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9A53C5EF-227A-407C-BD5A-DB347A097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457200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DF94AB35-9844-489A-90B7-749A243B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679" y="406854"/>
          <a:ext cx="6948973" cy="676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363A5103-B79D-4CD6-9F0F-3855FF078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0F04CAC5-8077-41A3-933A-DD1E7D27B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344ADBFB-0BC4-43AB-A9F5-5E36C5284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1C96D4E3-CEAC-4E06-BD24-710F6323D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90C1BB3B-B31B-419D-A3AA-B6F5F4438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B9BC29EA-D6D1-43E2-A18C-41BC3E262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A4ED700E-5F5F-4FCC-82F0-E5555F278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1F53404E-6C52-4D05-BB75-B5169ABBC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E009B116-1432-4653-902D-21336B050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BCC5F5DD-A17D-4E4A-A342-41E120691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CD4E80C1-57CE-4B4B-89F6-E0FEA6246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06BE578D-8508-4B67-BB41-356937F8B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15484DF6-903B-4F07-AB58-D6B6013E9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7E797C24-B8EE-4031-83EB-554302BC0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EBF9E238-5546-42EE-B867-C1F92C752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28D52FFB-D6AC-4A37-B41C-045E34202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E91D1AB2-F5BD-42FD-B354-8B98E97D9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CCC10C82-1155-443A-8851-ADBB679C4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ACBC1544-7E77-4D15-A13C-A2D31844E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D8F204AA-5203-4F6A-8158-01AAE693A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CD06B196-F0C5-418A-AA7C-A4450E4D8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66480</xdr:colOff>
      <xdr:row>1</xdr:row>
      <xdr:rowOff>18078</xdr:rowOff>
    </xdr:from>
    <xdr:to>
      <xdr:col>8</xdr:col>
      <xdr:colOff>1038030</xdr:colOff>
      <xdr:row>3</xdr:row>
      <xdr:rowOff>189528</xdr:rowOff>
    </xdr:to>
    <xdr:pic>
      <xdr:nvPicPr>
        <xdr:cNvPr id="2" name="圖片 9">
          <a:extLst>
            <a:ext uri="{FF2B5EF4-FFF2-40B4-BE49-F238E27FC236}">
              <a16:creationId xmlns:a16="http://schemas.microsoft.com/office/drawing/2014/main" id="{1D7E275C-AF64-45C5-8054-A05ADD4B4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655" y="408603"/>
          <a:ext cx="69246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84D5D-920D-405F-8DE8-076C513DE16A}">
  <sheetPr codeName="工作表2"/>
  <dimension ref="A1:I50"/>
  <sheetViews>
    <sheetView workbookViewId="0">
      <selection activeCell="E6" sqref="E6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96</v>
      </c>
      <c r="C4" s="8" t="s">
        <v>97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30" customHeight="1">
      <c r="A7" s="16" t="s">
        <v>9</v>
      </c>
      <c r="B7" s="24" t="s">
        <v>10</v>
      </c>
      <c r="C7" s="25" t="s">
        <v>11</v>
      </c>
      <c r="D7" s="25" t="s">
        <v>12</v>
      </c>
      <c r="E7" s="26"/>
      <c r="F7" s="27" t="s">
        <v>128</v>
      </c>
      <c r="G7" s="17"/>
      <c r="H7" s="14" t="s">
        <v>13</v>
      </c>
      <c r="I7" s="14" t="s">
        <v>14</v>
      </c>
    </row>
    <row r="8" spans="1:9" ht="21" customHeight="1">
      <c r="A8" s="18" t="s">
        <v>15</v>
      </c>
      <c r="B8" s="28">
        <v>7.86</v>
      </c>
      <c r="C8" s="28">
        <v>7.77</v>
      </c>
      <c r="D8" s="28">
        <v>7.68</v>
      </c>
      <c r="E8" s="29"/>
      <c r="F8" s="36" t="s">
        <v>16</v>
      </c>
      <c r="G8" s="75" t="s">
        <v>18</v>
      </c>
      <c r="H8" s="77"/>
      <c r="I8" s="77"/>
    </row>
    <row r="9" spans="1:9" ht="30" customHeight="1">
      <c r="A9" s="19" t="s">
        <v>19</v>
      </c>
      <c r="B9" s="28">
        <v>309</v>
      </c>
      <c r="C9" s="28">
        <v>2310</v>
      </c>
      <c r="D9" s="28">
        <v>2340</v>
      </c>
      <c r="E9" s="29"/>
      <c r="F9" s="36" t="s">
        <v>20</v>
      </c>
      <c r="G9" s="76"/>
      <c r="H9" s="67"/>
      <c r="I9" s="67"/>
    </row>
    <row r="10" spans="1:9" ht="30" customHeight="1">
      <c r="A10" s="19" t="s">
        <v>21</v>
      </c>
      <c r="B10" s="31">
        <v>240</v>
      </c>
      <c r="C10" s="28">
        <v>1730</v>
      </c>
      <c r="D10" s="28">
        <v>1755</v>
      </c>
      <c r="E10" s="29"/>
      <c r="F10" s="36"/>
      <c r="G10" s="78" t="s">
        <v>22</v>
      </c>
      <c r="H10" s="67"/>
      <c r="I10" s="67"/>
    </row>
    <row r="11" spans="1:9" ht="30" customHeight="1">
      <c r="A11" s="19" t="s">
        <v>23</v>
      </c>
      <c r="B11" s="28">
        <v>114</v>
      </c>
      <c r="C11" s="28">
        <v>60</v>
      </c>
      <c r="D11" s="28">
        <v>46</v>
      </c>
      <c r="E11" s="29"/>
      <c r="F11" s="36"/>
      <c r="G11" s="76"/>
      <c r="H11" s="67"/>
      <c r="I11" s="67"/>
    </row>
    <row r="12" spans="1:9" ht="30" customHeight="1">
      <c r="A12" s="19" t="s">
        <v>24</v>
      </c>
      <c r="B12" s="28">
        <v>149</v>
      </c>
      <c r="C12" s="28">
        <v>1212</v>
      </c>
      <c r="D12" s="28">
        <v>1278</v>
      </c>
      <c r="E12" s="29"/>
      <c r="F12" s="36"/>
      <c r="G12" s="22" t="s">
        <v>25</v>
      </c>
      <c r="H12" s="18"/>
      <c r="I12" s="18"/>
    </row>
    <row r="13" spans="1:9" ht="30" customHeight="1">
      <c r="A13" s="19" t="s">
        <v>26</v>
      </c>
      <c r="B13" s="28">
        <v>100</v>
      </c>
      <c r="C13" s="28">
        <v>780</v>
      </c>
      <c r="D13" s="28">
        <v>880</v>
      </c>
      <c r="E13" s="29"/>
      <c r="F13" s="36" t="s">
        <v>117</v>
      </c>
      <c r="G13" s="22" t="s">
        <v>29</v>
      </c>
      <c r="H13" s="18"/>
      <c r="I13" s="18"/>
    </row>
    <row r="14" spans="1:9" ht="30" customHeight="1">
      <c r="A14" s="19" t="s">
        <v>30</v>
      </c>
      <c r="B14" s="28">
        <f>B12-B13</f>
        <v>49</v>
      </c>
      <c r="C14" s="28">
        <f>C12-C13</f>
        <v>432</v>
      </c>
      <c r="D14" s="28">
        <f>D12-D13</f>
        <v>398</v>
      </c>
      <c r="E14" s="29"/>
      <c r="F14" s="36"/>
      <c r="G14" s="78" t="s">
        <v>31</v>
      </c>
      <c r="H14" s="18"/>
      <c r="I14" s="18"/>
    </row>
    <row r="15" spans="1:9" ht="30" customHeight="1">
      <c r="A15" s="19" t="s">
        <v>32</v>
      </c>
      <c r="B15" s="28">
        <v>11</v>
      </c>
      <c r="C15" s="28">
        <v>103</v>
      </c>
      <c r="D15" s="28">
        <v>86</v>
      </c>
      <c r="E15" s="29"/>
      <c r="F15" s="36" t="s">
        <v>118</v>
      </c>
      <c r="G15" s="76"/>
      <c r="H15" s="18"/>
      <c r="I15" s="18"/>
    </row>
    <row r="16" spans="1:9" ht="30" customHeight="1">
      <c r="A16" s="19" t="s">
        <v>35</v>
      </c>
      <c r="B16" s="28">
        <v>58.2</v>
      </c>
      <c r="C16" s="28">
        <v>1157</v>
      </c>
      <c r="D16" s="28">
        <v>1218</v>
      </c>
      <c r="E16" s="29"/>
      <c r="F16" s="36" t="s">
        <v>20</v>
      </c>
      <c r="G16" s="78" t="s">
        <v>36</v>
      </c>
      <c r="H16" s="18"/>
      <c r="I16" s="18"/>
    </row>
    <row r="17" spans="1:9" ht="30" customHeight="1">
      <c r="A17" s="19" t="s">
        <v>37</v>
      </c>
      <c r="B17" s="28">
        <v>9</v>
      </c>
      <c r="C17" s="28">
        <v>65</v>
      </c>
      <c r="D17" s="28">
        <v>73</v>
      </c>
      <c r="E17" s="29"/>
      <c r="F17" s="36" t="s">
        <v>119</v>
      </c>
      <c r="G17" s="76"/>
      <c r="H17" s="18"/>
      <c r="I17" s="18"/>
    </row>
    <row r="18" spans="1:9" ht="30" customHeight="1">
      <c r="A18" s="19" t="s">
        <v>40</v>
      </c>
      <c r="B18" s="28"/>
      <c r="C18" s="28">
        <v>4.03</v>
      </c>
      <c r="D18" s="28">
        <v>4.0599999999999996</v>
      </c>
      <c r="E18" s="29"/>
      <c r="F18" s="36"/>
      <c r="G18" s="78" t="s">
        <v>41</v>
      </c>
      <c r="H18" s="18"/>
      <c r="I18" s="18"/>
    </row>
    <row r="19" spans="1:9" ht="30" customHeight="1">
      <c r="A19" s="19" t="s">
        <v>42</v>
      </c>
      <c r="B19" s="28"/>
      <c r="C19" s="28">
        <v>3.47</v>
      </c>
      <c r="D19" s="28">
        <v>3.42</v>
      </c>
      <c r="E19" s="29"/>
      <c r="F19" s="36"/>
      <c r="G19" s="76"/>
      <c r="H19" s="18"/>
      <c r="I19" s="18"/>
    </row>
    <row r="20" spans="1:9" ht="30" customHeight="1">
      <c r="A20" s="19" t="s">
        <v>43</v>
      </c>
      <c r="B20" s="28"/>
      <c r="C20" s="28">
        <f>C18-C19</f>
        <v>0.56000000000000005</v>
      </c>
      <c r="D20" s="28">
        <f>D18-D19</f>
        <v>0.63999999999999968</v>
      </c>
      <c r="E20" s="29"/>
      <c r="F20" s="36"/>
      <c r="G20" s="21" t="s">
        <v>45</v>
      </c>
      <c r="H20" s="18"/>
      <c r="I20" s="18"/>
    </row>
    <row r="21" spans="1:9" ht="30" customHeight="1">
      <c r="A21" s="19" t="s">
        <v>46</v>
      </c>
      <c r="B21" s="28"/>
      <c r="C21" s="28">
        <v>3.24</v>
      </c>
      <c r="D21" s="28">
        <v>3.19</v>
      </c>
      <c r="E21" s="29"/>
      <c r="F21" s="36" t="s">
        <v>120</v>
      </c>
      <c r="G21" s="20" t="s">
        <v>48</v>
      </c>
      <c r="H21" s="18"/>
      <c r="I21" s="18"/>
    </row>
    <row r="22" spans="1:9" ht="20.100000000000001" customHeight="1">
      <c r="A22" s="18" t="s">
        <v>49</v>
      </c>
      <c r="B22" s="28">
        <v>0.04</v>
      </c>
      <c r="C22" s="28">
        <v>0.12</v>
      </c>
      <c r="D22" s="28">
        <v>0.11</v>
      </c>
      <c r="E22" s="29"/>
      <c r="F22" s="36" t="s">
        <v>50</v>
      </c>
      <c r="G22" s="78" t="s">
        <v>52</v>
      </c>
      <c r="H22" s="18"/>
      <c r="I22" s="18"/>
    </row>
    <row r="23" spans="1:9" ht="20.100000000000001" customHeight="1">
      <c r="A23" s="18" t="s">
        <v>53</v>
      </c>
      <c r="B23" s="28"/>
      <c r="C23" s="28">
        <v>1.05</v>
      </c>
      <c r="D23" s="28">
        <v>1.28</v>
      </c>
      <c r="E23" s="29"/>
      <c r="F23" s="36" t="s">
        <v>121</v>
      </c>
      <c r="G23" s="76"/>
      <c r="H23" s="18"/>
      <c r="I23" s="18"/>
    </row>
    <row r="24" spans="1:9" ht="20.100000000000001" customHeight="1">
      <c r="A24" s="18" t="s">
        <v>55</v>
      </c>
      <c r="B24" s="28"/>
      <c r="C24" s="28">
        <v>10</v>
      </c>
      <c r="D24" s="28">
        <v>10</v>
      </c>
      <c r="E24" s="29"/>
      <c r="F24" s="36"/>
      <c r="G24" s="78" t="s">
        <v>56</v>
      </c>
      <c r="H24" s="18"/>
      <c r="I24" s="18"/>
    </row>
    <row r="25" spans="1:9" ht="20.100000000000001" customHeight="1">
      <c r="A25" s="18"/>
      <c r="B25" s="28"/>
      <c r="C25" s="28"/>
      <c r="D25" s="28"/>
      <c r="E25" s="29"/>
      <c r="F25" s="36"/>
      <c r="G25" s="76"/>
      <c r="H25" s="18"/>
      <c r="I25" s="18"/>
    </row>
    <row r="26" spans="1:9" ht="20.100000000000001" customHeight="1">
      <c r="A26" s="18" t="s">
        <v>57</v>
      </c>
      <c r="B26" s="28"/>
      <c r="C26" s="28">
        <v>25.86</v>
      </c>
      <c r="D26" s="28">
        <v>22.69</v>
      </c>
      <c r="E26" s="29"/>
      <c r="F26" s="36" t="s">
        <v>122</v>
      </c>
      <c r="G26" s="13" t="s">
        <v>59</v>
      </c>
      <c r="H26" s="18"/>
      <c r="I26" s="18"/>
    </row>
    <row r="27" spans="1:9" ht="20.100000000000001" customHeight="1">
      <c r="A27" s="18" t="s">
        <v>60</v>
      </c>
      <c r="B27" s="28"/>
      <c r="C27" s="35">
        <v>0.89</v>
      </c>
      <c r="D27" s="35">
        <v>0.66</v>
      </c>
      <c r="E27" s="29"/>
      <c r="F27" s="36" t="s">
        <v>123</v>
      </c>
      <c r="G27" s="13" t="s">
        <v>61</v>
      </c>
      <c r="H27" s="18"/>
      <c r="I27" s="18"/>
    </row>
    <row r="28" spans="1:9" ht="20.100000000000001" customHeight="1">
      <c r="A28" s="18" t="s">
        <v>62</v>
      </c>
      <c r="B28" s="28">
        <v>0.3</v>
      </c>
      <c r="C28" s="28">
        <v>3.3</v>
      </c>
      <c r="D28" s="28">
        <v>3.7</v>
      </c>
      <c r="E28" s="29"/>
      <c r="F28" s="36" t="s">
        <v>63</v>
      </c>
      <c r="G28" s="17"/>
      <c r="H28" s="18"/>
      <c r="I28" s="18"/>
    </row>
    <row r="29" spans="1:9" ht="20.100000000000001" customHeight="1">
      <c r="A29" s="23" t="s">
        <v>64</v>
      </c>
      <c r="B29" s="28">
        <v>0.13</v>
      </c>
      <c r="C29" s="28">
        <v>0.04</v>
      </c>
      <c r="D29" s="28">
        <v>0.05</v>
      </c>
      <c r="E29" s="29"/>
      <c r="F29" s="36" t="s">
        <v>65</v>
      </c>
      <c r="G29" s="17"/>
      <c r="H29" s="18"/>
      <c r="I29" s="18"/>
    </row>
    <row r="30" spans="1:9" ht="20.100000000000001" customHeight="1">
      <c r="A30" s="18" t="s">
        <v>66</v>
      </c>
      <c r="B30" s="28"/>
      <c r="C30" s="28" t="s">
        <v>98</v>
      </c>
      <c r="D30" s="28" t="s">
        <v>99</v>
      </c>
      <c r="E30" s="29"/>
      <c r="F30" s="36" t="s">
        <v>124</v>
      </c>
      <c r="G30" s="17"/>
      <c r="H30" s="18"/>
      <c r="I30" s="18"/>
    </row>
    <row r="31" spans="1:9" ht="20.100000000000001" customHeight="1">
      <c r="A31" s="18" t="s">
        <v>67</v>
      </c>
      <c r="B31" s="28">
        <v>0.26</v>
      </c>
      <c r="C31" s="28">
        <v>1.39</v>
      </c>
      <c r="D31" s="28">
        <v>0.95</v>
      </c>
      <c r="E31" s="29"/>
      <c r="F31" s="36" t="s">
        <v>125</v>
      </c>
      <c r="G31" s="17"/>
      <c r="H31" s="18"/>
      <c r="I31" s="18"/>
    </row>
    <row r="32" spans="1:9" ht="20.100000000000001" customHeight="1">
      <c r="A32" s="18" t="s">
        <v>68</v>
      </c>
      <c r="B32" s="28"/>
      <c r="C32" s="28" t="s">
        <v>69</v>
      </c>
      <c r="D32" s="28" t="s">
        <v>69</v>
      </c>
      <c r="E32" s="29"/>
      <c r="F32" s="36" t="s">
        <v>126</v>
      </c>
      <c r="G32" s="17"/>
      <c r="H32" s="18"/>
      <c r="I32" s="18"/>
    </row>
    <row r="33" spans="1:9" ht="20.100000000000001" customHeight="1">
      <c r="A33" s="18" t="s">
        <v>70</v>
      </c>
      <c r="B33" s="28">
        <v>17</v>
      </c>
      <c r="C33" s="28">
        <v>72</v>
      </c>
      <c r="D33" s="28">
        <v>82</v>
      </c>
      <c r="E33" s="29"/>
      <c r="F33" s="36"/>
      <c r="G33" s="17"/>
      <c r="H33" s="18"/>
      <c r="I33" s="18"/>
    </row>
    <row r="34" spans="1:9" ht="20.100000000000001" customHeight="1">
      <c r="A34" s="18" t="s">
        <v>71</v>
      </c>
      <c r="B34" s="28">
        <v>4</v>
      </c>
      <c r="C34" s="28">
        <v>26</v>
      </c>
      <c r="D34" s="28">
        <v>20</v>
      </c>
      <c r="E34" s="29"/>
      <c r="F34" s="36"/>
      <c r="G34" s="17"/>
      <c r="H34" s="18"/>
      <c r="I34" s="18"/>
    </row>
    <row r="35" spans="1:9" ht="20.100000000000001" customHeight="1">
      <c r="A35" s="18" t="s">
        <v>72</v>
      </c>
      <c r="B35" s="28">
        <v>0.06</v>
      </c>
      <c r="C35" s="28">
        <v>0.25</v>
      </c>
      <c r="D35" s="28">
        <v>0.36</v>
      </c>
      <c r="E35" s="29"/>
      <c r="F35" s="36"/>
      <c r="G35" s="17"/>
      <c r="H35" s="18"/>
      <c r="I35" s="18"/>
    </row>
    <row r="36" spans="1:9" ht="20.100000000000001" customHeight="1">
      <c r="A36" s="18" t="s">
        <v>73</v>
      </c>
      <c r="B36" s="28"/>
      <c r="C36" s="33">
        <f>C13/B13</f>
        <v>7.8</v>
      </c>
      <c r="D36" s="33">
        <f>D13/B13</f>
        <v>8.8000000000000007</v>
      </c>
      <c r="E36" s="29"/>
      <c r="F36" s="36"/>
      <c r="G36" s="66" t="s">
        <v>74</v>
      </c>
      <c r="H36" s="67"/>
      <c r="I36" s="18"/>
    </row>
    <row r="37" spans="1:9" ht="20.100000000000001" customHeight="1">
      <c r="A37" s="18" t="s">
        <v>75</v>
      </c>
      <c r="B37" s="28"/>
      <c r="C37" s="28">
        <v>0.74</v>
      </c>
      <c r="D37" s="33">
        <v>0.6</v>
      </c>
      <c r="E37" s="29"/>
      <c r="F37" s="36" t="s">
        <v>127</v>
      </c>
      <c r="G37" s="66" t="s">
        <v>77</v>
      </c>
      <c r="H37" s="67"/>
      <c r="I37" s="18"/>
    </row>
    <row r="38" spans="1:9" ht="20.100000000000001" customHeight="1">
      <c r="A38" s="18" t="s">
        <v>78</v>
      </c>
      <c r="B38" s="28"/>
      <c r="C38" s="33">
        <v>6.3</v>
      </c>
      <c r="D38" s="28">
        <v>6.48</v>
      </c>
      <c r="E38" s="29"/>
      <c r="F38" s="36" t="s">
        <v>79</v>
      </c>
      <c r="G38" s="66" t="s">
        <v>80</v>
      </c>
      <c r="H38" s="67"/>
      <c r="I38" s="18"/>
    </row>
    <row r="39" spans="1:9" ht="20.100000000000001" customHeight="1">
      <c r="A39" s="18"/>
      <c r="B39" s="28"/>
      <c r="C39" s="28"/>
      <c r="D39" s="28"/>
      <c r="E39" s="29"/>
      <c r="F39" s="30"/>
      <c r="G39" s="66" t="s">
        <v>81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82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83</v>
      </c>
      <c r="H41" s="67"/>
      <c r="I41" s="18"/>
    </row>
    <row r="42" spans="1:9">
      <c r="A42" s="79" t="s">
        <v>84</v>
      </c>
      <c r="B42" s="100" t="s">
        <v>116</v>
      </c>
      <c r="C42" s="101"/>
      <c r="D42" s="101"/>
      <c r="E42" s="101"/>
      <c r="F42" s="101"/>
      <c r="G42" s="101"/>
      <c r="H42" s="101"/>
      <c r="I42" s="102"/>
    </row>
    <row r="43" spans="1:9">
      <c r="A43" s="80"/>
      <c r="B43" s="100"/>
      <c r="C43" s="101"/>
      <c r="D43" s="101"/>
      <c r="E43" s="101"/>
      <c r="F43" s="101"/>
      <c r="G43" s="101"/>
      <c r="H43" s="101"/>
      <c r="I43" s="102"/>
    </row>
    <row r="44" spans="1:9">
      <c r="A44" s="80"/>
      <c r="B44" s="100"/>
      <c r="C44" s="101"/>
      <c r="D44" s="101"/>
      <c r="E44" s="101"/>
      <c r="F44" s="101"/>
      <c r="G44" s="101"/>
      <c r="H44" s="101"/>
      <c r="I44" s="102"/>
    </row>
    <row r="45" spans="1:9">
      <c r="A45" s="80"/>
      <c r="B45" s="100"/>
      <c r="C45" s="101"/>
      <c r="D45" s="101"/>
      <c r="E45" s="101"/>
      <c r="F45" s="101"/>
      <c r="G45" s="101"/>
      <c r="H45" s="101"/>
      <c r="I45" s="102"/>
    </row>
    <row r="46" spans="1:9">
      <c r="A46" s="80"/>
      <c r="B46" s="100"/>
      <c r="C46" s="101"/>
      <c r="D46" s="101"/>
      <c r="E46" s="101"/>
      <c r="F46" s="101"/>
      <c r="G46" s="101"/>
      <c r="H46" s="101"/>
      <c r="I46" s="102"/>
    </row>
    <row r="47" spans="1:9">
      <c r="A47" s="80"/>
      <c r="B47" s="100"/>
      <c r="C47" s="101"/>
      <c r="D47" s="101"/>
      <c r="E47" s="101"/>
      <c r="F47" s="101"/>
      <c r="G47" s="101"/>
      <c r="H47" s="101"/>
      <c r="I47" s="102"/>
    </row>
    <row r="48" spans="1:9">
      <c r="A48" s="80"/>
      <c r="B48" s="103"/>
      <c r="C48" s="104"/>
      <c r="D48" s="104"/>
      <c r="E48" s="104"/>
      <c r="F48" s="104"/>
      <c r="G48" s="104"/>
      <c r="H48" s="104"/>
      <c r="I48" s="105"/>
    </row>
    <row r="49" spans="1:9">
      <c r="A49" s="88" t="s">
        <v>85</v>
      </c>
      <c r="B49" s="68"/>
      <c r="C49" s="66"/>
      <c r="D49" s="89" t="s">
        <v>86</v>
      </c>
      <c r="E49" s="90"/>
      <c r="F49" s="91"/>
      <c r="G49" s="92" t="s">
        <v>87</v>
      </c>
      <c r="H49" s="68"/>
      <c r="I49" s="93"/>
    </row>
    <row r="50" spans="1:9" ht="17.25" customHeight="1" thickBot="1">
      <c r="A50" s="94" t="s">
        <v>88</v>
      </c>
      <c r="B50" s="95"/>
      <c r="C50" s="96"/>
      <c r="D50" s="97" t="s">
        <v>89</v>
      </c>
      <c r="E50" s="95"/>
      <c r="F50" s="96"/>
      <c r="G50" s="98"/>
      <c r="H50" s="98"/>
      <c r="I50" s="99"/>
    </row>
  </sheetData>
  <mergeCells count="27">
    <mergeCell ref="A49:C49"/>
    <mergeCell ref="D49:F49"/>
    <mergeCell ref="G49:I49"/>
    <mergeCell ref="A50:C50"/>
    <mergeCell ref="D50:F50"/>
    <mergeCell ref="G50:I50"/>
    <mergeCell ref="A42:A48"/>
    <mergeCell ref="B42:I48"/>
    <mergeCell ref="G14:G15"/>
    <mergeCell ref="G16:G17"/>
    <mergeCell ref="G18:G19"/>
    <mergeCell ref="G22:G23"/>
    <mergeCell ref="G24:G25"/>
    <mergeCell ref="G36:H36"/>
    <mergeCell ref="G37:H37"/>
    <mergeCell ref="G38:H38"/>
    <mergeCell ref="G39:H39"/>
    <mergeCell ref="G40:H40"/>
    <mergeCell ref="G41:H41"/>
    <mergeCell ref="G10:G11"/>
    <mergeCell ref="H10:H11"/>
    <mergeCell ref="I10:I11"/>
    <mergeCell ref="B6:D6"/>
    <mergeCell ref="G6:I6"/>
    <mergeCell ref="G8:G9"/>
    <mergeCell ref="H8:H9"/>
    <mergeCell ref="I8:I9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C0CD-7FE1-4B1B-A738-E5C09F4D02CF}">
  <sheetPr codeName="工作表3"/>
  <dimension ref="A1:I50"/>
  <sheetViews>
    <sheetView topLeftCell="A29" workbookViewId="0">
      <selection activeCell="B42" sqref="B42:I48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100</v>
      </c>
      <c r="C4" s="8" t="s">
        <v>101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30" customHeight="1">
      <c r="A7" s="16" t="s">
        <v>9</v>
      </c>
      <c r="B7" s="24" t="s">
        <v>10</v>
      </c>
      <c r="C7" s="25" t="s">
        <v>11</v>
      </c>
      <c r="D7" s="25" t="s">
        <v>12</v>
      </c>
      <c r="E7" s="26"/>
      <c r="F7" s="27" t="s">
        <v>128</v>
      </c>
      <c r="G7" s="17"/>
      <c r="H7" s="14" t="s">
        <v>13</v>
      </c>
      <c r="I7" s="14" t="s">
        <v>14</v>
      </c>
    </row>
    <row r="8" spans="1:9" ht="21" customHeight="1">
      <c r="A8" s="18" t="s">
        <v>15</v>
      </c>
      <c r="B8" s="28">
        <v>8.06</v>
      </c>
      <c r="C8" s="33">
        <v>7.7</v>
      </c>
      <c r="D8" s="28">
        <v>7.71</v>
      </c>
      <c r="E8" s="29"/>
      <c r="F8" s="37" t="s">
        <v>16</v>
      </c>
      <c r="G8" s="75" t="s">
        <v>18</v>
      </c>
      <c r="H8" s="77"/>
      <c r="I8" s="77"/>
    </row>
    <row r="9" spans="1:9" ht="30" customHeight="1">
      <c r="A9" s="19" t="s">
        <v>19</v>
      </c>
      <c r="B9" s="28">
        <v>292</v>
      </c>
      <c r="C9" s="28">
        <v>2380</v>
      </c>
      <c r="D9" s="28">
        <v>2310</v>
      </c>
      <c r="E9" s="29"/>
      <c r="F9" s="37" t="s">
        <v>20</v>
      </c>
      <c r="G9" s="76"/>
      <c r="H9" s="67"/>
      <c r="I9" s="67"/>
    </row>
    <row r="10" spans="1:9" ht="30" customHeight="1">
      <c r="A10" s="19" t="s">
        <v>21</v>
      </c>
      <c r="B10" s="31">
        <v>220</v>
      </c>
      <c r="C10" s="28">
        <v>1785</v>
      </c>
      <c r="D10" s="28">
        <v>1735</v>
      </c>
      <c r="E10" s="29"/>
      <c r="F10" s="37"/>
      <c r="G10" s="78" t="s">
        <v>22</v>
      </c>
      <c r="H10" s="67"/>
      <c r="I10" s="67"/>
    </row>
    <row r="11" spans="1:9" ht="30" customHeight="1">
      <c r="A11" s="19" t="s">
        <v>23</v>
      </c>
      <c r="B11" s="28">
        <v>110</v>
      </c>
      <c r="C11" s="28">
        <v>59</v>
      </c>
      <c r="D11" s="28">
        <v>54</v>
      </c>
      <c r="E11" s="29"/>
      <c r="F11" s="37"/>
      <c r="G11" s="76"/>
      <c r="H11" s="67"/>
      <c r="I11" s="67"/>
    </row>
    <row r="12" spans="1:9" ht="30" customHeight="1">
      <c r="A12" s="19" t="s">
        <v>24</v>
      </c>
      <c r="B12" s="28">
        <v>132</v>
      </c>
      <c r="C12" s="28">
        <v>1214</v>
      </c>
      <c r="D12" s="28">
        <v>1262</v>
      </c>
      <c r="E12" s="29"/>
      <c r="F12" s="37"/>
      <c r="G12" s="22" t="s">
        <v>25</v>
      </c>
      <c r="H12" s="18"/>
      <c r="I12" s="18"/>
    </row>
    <row r="13" spans="1:9" ht="30" customHeight="1">
      <c r="A13" s="19" t="s">
        <v>26</v>
      </c>
      <c r="B13" s="28">
        <v>100</v>
      </c>
      <c r="C13" s="28">
        <v>806</v>
      </c>
      <c r="D13" s="28">
        <v>854</v>
      </c>
      <c r="E13" s="29"/>
      <c r="F13" s="37" t="s">
        <v>117</v>
      </c>
      <c r="G13" s="22" t="s">
        <v>29</v>
      </c>
      <c r="H13" s="18"/>
      <c r="I13" s="18"/>
    </row>
    <row r="14" spans="1:9" ht="30" customHeight="1">
      <c r="A14" s="19" t="s">
        <v>30</v>
      </c>
      <c r="B14" s="28">
        <f>B12-B13</f>
        <v>32</v>
      </c>
      <c r="C14" s="28">
        <f>C12-C13</f>
        <v>408</v>
      </c>
      <c r="D14" s="28">
        <f>D12-D13</f>
        <v>408</v>
      </c>
      <c r="E14" s="29"/>
      <c r="F14" s="37"/>
      <c r="G14" s="78" t="s">
        <v>31</v>
      </c>
      <c r="H14" s="18"/>
      <c r="I14" s="18"/>
    </row>
    <row r="15" spans="1:9" ht="30" customHeight="1">
      <c r="A15" s="19" t="s">
        <v>32</v>
      </c>
      <c r="B15" s="28">
        <v>9</v>
      </c>
      <c r="C15" s="28">
        <v>111</v>
      </c>
      <c r="D15" s="28">
        <v>86</v>
      </c>
      <c r="E15" s="29"/>
      <c r="F15" s="37" t="s">
        <v>118</v>
      </c>
      <c r="G15" s="76"/>
      <c r="H15" s="18"/>
      <c r="I15" s="18"/>
    </row>
    <row r="16" spans="1:9" ht="30" customHeight="1">
      <c r="A16" s="19" t="s">
        <v>35</v>
      </c>
      <c r="B16" s="28">
        <v>56.4</v>
      </c>
      <c r="C16" s="28">
        <v>1123</v>
      </c>
      <c r="D16" s="28">
        <v>1184</v>
      </c>
      <c r="E16" s="29"/>
      <c r="F16" s="37" t="s">
        <v>20</v>
      </c>
      <c r="G16" s="78" t="s">
        <v>36</v>
      </c>
      <c r="H16" s="18"/>
      <c r="I16" s="18"/>
    </row>
    <row r="17" spans="1:9" ht="30" customHeight="1">
      <c r="A17" s="19" t="s">
        <v>37</v>
      </c>
      <c r="B17" s="28">
        <v>8</v>
      </c>
      <c r="C17" s="28">
        <v>62</v>
      </c>
      <c r="D17" s="28">
        <v>73</v>
      </c>
      <c r="E17" s="29"/>
      <c r="F17" s="37" t="s">
        <v>119</v>
      </c>
      <c r="G17" s="76"/>
      <c r="H17" s="18"/>
      <c r="I17" s="18"/>
    </row>
    <row r="18" spans="1:9" ht="30" customHeight="1">
      <c r="A18" s="19" t="s">
        <v>40</v>
      </c>
      <c r="B18" s="28"/>
      <c r="C18" s="28">
        <v>4.33</v>
      </c>
      <c r="D18" s="28">
        <v>4.3099999999999996</v>
      </c>
      <c r="E18" s="29"/>
      <c r="F18" s="37"/>
      <c r="G18" s="78" t="s">
        <v>41</v>
      </c>
      <c r="H18" s="18"/>
      <c r="I18" s="18"/>
    </row>
    <row r="19" spans="1:9" ht="30" customHeight="1">
      <c r="A19" s="19" t="s">
        <v>42</v>
      </c>
      <c r="B19" s="28"/>
      <c r="C19" s="33">
        <v>3.8</v>
      </c>
      <c r="D19" s="28">
        <v>3.73</v>
      </c>
      <c r="E19" s="29"/>
      <c r="F19" s="37"/>
      <c r="G19" s="76"/>
      <c r="H19" s="18"/>
      <c r="I19" s="18"/>
    </row>
    <row r="20" spans="1:9" ht="30" customHeight="1">
      <c r="A20" s="19" t="s">
        <v>43</v>
      </c>
      <c r="B20" s="28"/>
      <c r="C20" s="28">
        <f>C18-C19</f>
        <v>0.53000000000000025</v>
      </c>
      <c r="D20" s="28">
        <f>D18-D19</f>
        <v>0.57999999999999963</v>
      </c>
      <c r="E20" s="29"/>
      <c r="F20" s="37"/>
      <c r="G20" s="21" t="s">
        <v>45</v>
      </c>
      <c r="H20" s="18"/>
      <c r="I20" s="18"/>
    </row>
    <row r="21" spans="1:9" ht="30" customHeight="1">
      <c r="A21" s="19" t="s">
        <v>46</v>
      </c>
      <c r="B21" s="28"/>
      <c r="C21" s="28">
        <v>3.45</v>
      </c>
      <c r="D21" s="28">
        <v>3.47</v>
      </c>
      <c r="E21" s="29"/>
      <c r="F21" s="37" t="s">
        <v>120</v>
      </c>
      <c r="G21" s="20" t="s">
        <v>48</v>
      </c>
      <c r="H21" s="18"/>
      <c r="I21" s="18"/>
    </row>
    <row r="22" spans="1:9" ht="20.100000000000001" customHeight="1">
      <c r="A22" s="18" t="s">
        <v>49</v>
      </c>
      <c r="B22" s="28">
        <v>0.08</v>
      </c>
      <c r="C22" s="28">
        <v>0.11</v>
      </c>
      <c r="D22" s="33">
        <v>0.1</v>
      </c>
      <c r="E22" s="29"/>
      <c r="F22" s="37" t="s">
        <v>50</v>
      </c>
      <c r="G22" s="78" t="s">
        <v>52</v>
      </c>
      <c r="H22" s="18"/>
      <c r="I22" s="18"/>
    </row>
    <row r="23" spans="1:9" ht="20.100000000000001" customHeight="1">
      <c r="A23" s="18" t="s">
        <v>53</v>
      </c>
      <c r="B23" s="28"/>
      <c r="C23" s="28">
        <v>1.4</v>
      </c>
      <c r="D23" s="28">
        <v>1.29</v>
      </c>
      <c r="E23" s="29"/>
      <c r="F23" s="37" t="s">
        <v>121</v>
      </c>
      <c r="G23" s="76"/>
      <c r="H23" s="18"/>
      <c r="I23" s="18"/>
    </row>
    <row r="24" spans="1:9" ht="20.100000000000001" customHeight="1">
      <c r="A24" s="18" t="s">
        <v>55</v>
      </c>
      <c r="B24" s="28"/>
      <c r="C24" s="28">
        <v>20</v>
      </c>
      <c r="D24" s="28">
        <v>30</v>
      </c>
      <c r="E24" s="29"/>
      <c r="F24" s="37"/>
      <c r="G24" s="78" t="s">
        <v>56</v>
      </c>
      <c r="H24" s="18"/>
      <c r="I24" s="18"/>
    </row>
    <row r="25" spans="1:9" ht="20.100000000000001" customHeight="1">
      <c r="A25" s="18"/>
      <c r="B25" s="28"/>
      <c r="C25" s="28"/>
      <c r="D25" s="28"/>
      <c r="E25" s="29"/>
      <c r="F25" s="37"/>
      <c r="G25" s="76"/>
      <c r="H25" s="18"/>
      <c r="I25" s="18"/>
    </row>
    <row r="26" spans="1:9" ht="20.100000000000001" customHeight="1">
      <c r="A26" s="18" t="s">
        <v>57</v>
      </c>
      <c r="B26" s="28"/>
      <c r="C26" s="28">
        <v>28.28</v>
      </c>
      <c r="D26" s="28">
        <v>24.07</v>
      </c>
      <c r="E26" s="29"/>
      <c r="F26" s="37" t="s">
        <v>122</v>
      </c>
      <c r="G26" s="13" t="s">
        <v>59</v>
      </c>
      <c r="H26" s="18"/>
      <c r="I26" s="18"/>
    </row>
    <row r="27" spans="1:9" ht="20.100000000000001" customHeight="1">
      <c r="A27" s="18" t="s">
        <v>60</v>
      </c>
      <c r="B27" s="28"/>
      <c r="C27" s="35">
        <v>1.18</v>
      </c>
      <c r="D27" s="35">
        <v>0.79</v>
      </c>
      <c r="E27" s="29"/>
      <c r="F27" s="37" t="s">
        <v>123</v>
      </c>
      <c r="G27" s="13" t="s">
        <v>61</v>
      </c>
      <c r="H27" s="18"/>
      <c r="I27" s="18"/>
    </row>
    <row r="28" spans="1:9" ht="20.100000000000001" customHeight="1">
      <c r="A28" s="18" t="s">
        <v>62</v>
      </c>
      <c r="B28" s="28">
        <v>0.3</v>
      </c>
      <c r="C28" s="28">
        <v>2.7</v>
      </c>
      <c r="D28" s="34">
        <v>4</v>
      </c>
      <c r="E28" s="29"/>
      <c r="F28" s="37" t="s">
        <v>63</v>
      </c>
      <c r="G28" s="17"/>
      <c r="H28" s="18"/>
      <c r="I28" s="18"/>
    </row>
    <row r="29" spans="1:9" ht="20.100000000000001" customHeight="1">
      <c r="A29" s="23" t="s">
        <v>64</v>
      </c>
      <c r="B29" s="28">
        <v>0.05</v>
      </c>
      <c r="C29" s="28">
        <v>0.08</v>
      </c>
      <c r="D29" s="28">
        <v>0.1</v>
      </c>
      <c r="E29" s="29"/>
      <c r="F29" s="37" t="s">
        <v>65</v>
      </c>
      <c r="G29" s="17"/>
      <c r="H29" s="18"/>
      <c r="I29" s="18"/>
    </row>
    <row r="30" spans="1:9" ht="20.100000000000001" customHeight="1">
      <c r="A30" s="18" t="s">
        <v>66</v>
      </c>
      <c r="B30" s="28"/>
      <c r="C30" s="28" t="s">
        <v>93</v>
      </c>
      <c r="D30" s="28" t="s">
        <v>102</v>
      </c>
      <c r="E30" s="29"/>
      <c r="F30" s="37" t="s">
        <v>124</v>
      </c>
      <c r="G30" s="17"/>
      <c r="H30" s="18"/>
      <c r="I30" s="18"/>
    </row>
    <row r="31" spans="1:9" ht="20.100000000000001" customHeight="1">
      <c r="A31" s="18" t="s">
        <v>67</v>
      </c>
      <c r="B31" s="28">
        <v>0.22</v>
      </c>
      <c r="C31" s="28">
        <v>1.63</v>
      </c>
      <c r="D31" s="28">
        <v>1.19</v>
      </c>
      <c r="E31" s="29"/>
      <c r="F31" s="37" t="s">
        <v>125</v>
      </c>
      <c r="G31" s="17"/>
      <c r="H31" s="18"/>
      <c r="I31" s="18"/>
    </row>
    <row r="32" spans="1:9" ht="20.100000000000001" customHeight="1">
      <c r="A32" s="18" t="s">
        <v>68</v>
      </c>
      <c r="B32" s="28"/>
      <c r="C32" s="28" t="s">
        <v>69</v>
      </c>
      <c r="D32" s="28" t="s">
        <v>69</v>
      </c>
      <c r="E32" s="29"/>
      <c r="F32" s="37" t="s">
        <v>126</v>
      </c>
      <c r="G32" s="17"/>
      <c r="H32" s="18"/>
      <c r="I32" s="18"/>
    </row>
    <row r="33" spans="1:9" ht="20.100000000000001" customHeight="1">
      <c r="A33" s="18" t="s">
        <v>70</v>
      </c>
      <c r="B33" s="28">
        <v>11</v>
      </c>
      <c r="C33" s="28">
        <v>78</v>
      </c>
      <c r="D33" s="28">
        <v>94</v>
      </c>
      <c r="E33" s="29"/>
      <c r="F33" s="37"/>
      <c r="G33" s="17"/>
      <c r="H33" s="18"/>
      <c r="I33" s="18"/>
    </row>
    <row r="34" spans="1:9" ht="20.100000000000001" customHeight="1">
      <c r="A34" s="18" t="s">
        <v>71</v>
      </c>
      <c r="B34" s="28">
        <v>1</v>
      </c>
      <c r="C34" s="28">
        <v>34</v>
      </c>
      <c r="D34" s="28">
        <v>54</v>
      </c>
      <c r="E34" s="29"/>
      <c r="F34" s="37"/>
      <c r="G34" s="17"/>
      <c r="H34" s="18"/>
      <c r="I34" s="18"/>
    </row>
    <row r="35" spans="1:9" ht="20.100000000000001" customHeight="1">
      <c r="A35" s="18" t="s">
        <v>72</v>
      </c>
      <c r="B35" s="28">
        <v>0.01</v>
      </c>
      <c r="C35" s="28">
        <v>0.26</v>
      </c>
      <c r="D35" s="28">
        <v>0.28000000000000003</v>
      </c>
      <c r="E35" s="29"/>
      <c r="F35" s="37"/>
      <c r="G35" s="17"/>
      <c r="H35" s="18"/>
      <c r="I35" s="18"/>
    </row>
    <row r="36" spans="1:9" ht="20.100000000000001" customHeight="1">
      <c r="A36" s="18" t="s">
        <v>73</v>
      </c>
      <c r="B36" s="28"/>
      <c r="C36" s="33">
        <f>C13/B13</f>
        <v>8.06</v>
      </c>
      <c r="D36" s="33">
        <f>D13/B13</f>
        <v>8.5399999999999991</v>
      </c>
      <c r="E36" s="29"/>
      <c r="F36" s="37"/>
      <c r="G36" s="66" t="s">
        <v>74</v>
      </c>
      <c r="H36" s="67"/>
      <c r="I36" s="18"/>
    </row>
    <row r="37" spans="1:9" ht="20.100000000000001" customHeight="1">
      <c r="A37" s="18" t="s">
        <v>75</v>
      </c>
      <c r="B37" s="28"/>
      <c r="C37" s="28">
        <v>0.67</v>
      </c>
      <c r="D37" s="33">
        <v>0.67</v>
      </c>
      <c r="E37" s="29"/>
      <c r="F37" s="37" t="s">
        <v>127</v>
      </c>
      <c r="G37" s="66" t="s">
        <v>77</v>
      </c>
      <c r="H37" s="67"/>
      <c r="I37" s="18"/>
    </row>
    <row r="38" spans="1:9" ht="20.100000000000001" customHeight="1">
      <c r="A38" s="18" t="s">
        <v>78</v>
      </c>
      <c r="B38" s="28"/>
      <c r="C38" s="28">
        <v>6.36</v>
      </c>
      <c r="D38" s="28">
        <v>6.37</v>
      </c>
      <c r="E38" s="29"/>
      <c r="F38" s="37" t="s">
        <v>79</v>
      </c>
      <c r="G38" s="66" t="s">
        <v>80</v>
      </c>
      <c r="H38" s="67"/>
      <c r="I38" s="18"/>
    </row>
    <row r="39" spans="1:9" ht="20.100000000000001" customHeight="1">
      <c r="A39" s="18"/>
      <c r="B39" s="28"/>
      <c r="C39" s="28"/>
      <c r="D39" s="28"/>
      <c r="E39" s="29"/>
      <c r="F39" s="37"/>
      <c r="G39" s="66" t="s">
        <v>81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82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83</v>
      </c>
      <c r="H41" s="67"/>
      <c r="I41" s="18"/>
    </row>
    <row r="42" spans="1:9">
      <c r="A42" s="79" t="s">
        <v>84</v>
      </c>
      <c r="B42" s="100" t="s">
        <v>116</v>
      </c>
      <c r="C42" s="101"/>
      <c r="D42" s="101"/>
      <c r="E42" s="101"/>
      <c r="F42" s="101"/>
      <c r="G42" s="101"/>
      <c r="H42" s="101"/>
      <c r="I42" s="102"/>
    </row>
    <row r="43" spans="1:9">
      <c r="A43" s="80"/>
      <c r="B43" s="100"/>
      <c r="C43" s="101"/>
      <c r="D43" s="101"/>
      <c r="E43" s="101"/>
      <c r="F43" s="101"/>
      <c r="G43" s="101"/>
      <c r="H43" s="101"/>
      <c r="I43" s="102"/>
    </row>
    <row r="44" spans="1:9">
      <c r="A44" s="80"/>
      <c r="B44" s="100"/>
      <c r="C44" s="101"/>
      <c r="D44" s="101"/>
      <c r="E44" s="101"/>
      <c r="F44" s="101"/>
      <c r="G44" s="101"/>
      <c r="H44" s="101"/>
      <c r="I44" s="102"/>
    </row>
    <row r="45" spans="1:9">
      <c r="A45" s="80"/>
      <c r="B45" s="100"/>
      <c r="C45" s="101"/>
      <c r="D45" s="101"/>
      <c r="E45" s="101"/>
      <c r="F45" s="101"/>
      <c r="G45" s="101"/>
      <c r="H45" s="101"/>
      <c r="I45" s="102"/>
    </row>
    <row r="46" spans="1:9">
      <c r="A46" s="80"/>
      <c r="B46" s="100"/>
      <c r="C46" s="101"/>
      <c r="D46" s="101"/>
      <c r="E46" s="101"/>
      <c r="F46" s="101"/>
      <c r="G46" s="101"/>
      <c r="H46" s="101"/>
      <c r="I46" s="102"/>
    </row>
    <row r="47" spans="1:9">
      <c r="A47" s="80"/>
      <c r="B47" s="100"/>
      <c r="C47" s="101"/>
      <c r="D47" s="101"/>
      <c r="E47" s="101"/>
      <c r="F47" s="101"/>
      <c r="G47" s="101"/>
      <c r="H47" s="101"/>
      <c r="I47" s="102"/>
    </row>
    <row r="48" spans="1:9">
      <c r="A48" s="80"/>
      <c r="B48" s="103"/>
      <c r="C48" s="104"/>
      <c r="D48" s="104"/>
      <c r="E48" s="104"/>
      <c r="F48" s="104"/>
      <c r="G48" s="104"/>
      <c r="H48" s="104"/>
      <c r="I48" s="105"/>
    </row>
    <row r="49" spans="1:9">
      <c r="A49" s="88" t="s">
        <v>85</v>
      </c>
      <c r="B49" s="68"/>
      <c r="C49" s="66"/>
      <c r="D49" s="89" t="s">
        <v>86</v>
      </c>
      <c r="E49" s="90"/>
      <c r="F49" s="91"/>
      <c r="G49" s="92" t="s">
        <v>87</v>
      </c>
      <c r="H49" s="68"/>
      <c r="I49" s="93"/>
    </row>
    <row r="50" spans="1:9" ht="17.25" customHeight="1" thickBot="1">
      <c r="A50" s="94" t="s">
        <v>88</v>
      </c>
      <c r="B50" s="95"/>
      <c r="C50" s="96"/>
      <c r="D50" s="97" t="s">
        <v>89</v>
      </c>
      <c r="E50" s="95"/>
      <c r="F50" s="96"/>
      <c r="G50" s="98"/>
      <c r="H50" s="98"/>
      <c r="I50" s="99"/>
    </row>
  </sheetData>
  <mergeCells count="27">
    <mergeCell ref="A49:C49"/>
    <mergeCell ref="D49:F49"/>
    <mergeCell ref="G49:I49"/>
    <mergeCell ref="A50:C50"/>
    <mergeCell ref="D50:F50"/>
    <mergeCell ref="G50:I50"/>
    <mergeCell ref="A42:A48"/>
    <mergeCell ref="B42:I48"/>
    <mergeCell ref="G14:G15"/>
    <mergeCell ref="G16:G17"/>
    <mergeCell ref="G18:G19"/>
    <mergeCell ref="G22:G23"/>
    <mergeCell ref="G24:G25"/>
    <mergeCell ref="G36:H36"/>
    <mergeCell ref="G37:H37"/>
    <mergeCell ref="G38:H38"/>
    <mergeCell ref="G39:H39"/>
    <mergeCell ref="G40:H40"/>
    <mergeCell ref="G41:H41"/>
    <mergeCell ref="G10:G11"/>
    <mergeCell ref="H10:H11"/>
    <mergeCell ref="I10:I11"/>
    <mergeCell ref="B6:D6"/>
    <mergeCell ref="G6:I6"/>
    <mergeCell ref="G8:G9"/>
    <mergeCell ref="H8:H9"/>
    <mergeCell ref="I8:I9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F107-B08F-457C-9DCF-9149E6FFF7D3}">
  <sheetPr codeName="工作表4"/>
  <dimension ref="A1:I50"/>
  <sheetViews>
    <sheetView topLeftCell="A15" workbookViewId="0">
      <selection activeCell="E6" sqref="E6:F38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100</v>
      </c>
      <c r="C4" s="8" t="s">
        <v>103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30" customHeight="1">
      <c r="A7" s="16" t="s">
        <v>9</v>
      </c>
      <c r="B7" s="24" t="s">
        <v>10</v>
      </c>
      <c r="C7" s="25" t="s">
        <v>11</v>
      </c>
      <c r="D7" s="25" t="s">
        <v>12</v>
      </c>
      <c r="E7" s="38"/>
      <c r="F7" s="47" t="s">
        <v>129</v>
      </c>
      <c r="G7" s="17"/>
      <c r="H7" s="14" t="s">
        <v>13</v>
      </c>
      <c r="I7" s="14" t="s">
        <v>14</v>
      </c>
    </row>
    <row r="8" spans="1:9" ht="21" customHeight="1">
      <c r="A8" s="18" t="s">
        <v>15</v>
      </c>
      <c r="B8" s="33">
        <v>7.6</v>
      </c>
      <c r="C8" s="28">
        <v>7.82</v>
      </c>
      <c r="D8" s="33">
        <v>7.8</v>
      </c>
      <c r="E8" s="39"/>
      <c r="F8" s="37" t="s">
        <v>16</v>
      </c>
      <c r="G8" s="75" t="s">
        <v>18</v>
      </c>
      <c r="H8" s="77"/>
      <c r="I8" s="77"/>
    </row>
    <row r="9" spans="1:9" ht="30" customHeight="1">
      <c r="A9" s="19" t="s">
        <v>19</v>
      </c>
      <c r="B9" s="28">
        <v>269</v>
      </c>
      <c r="C9" s="28">
        <v>2400</v>
      </c>
      <c r="D9" s="28">
        <v>2310</v>
      </c>
      <c r="E9" s="39"/>
      <c r="F9" s="37" t="s">
        <v>20</v>
      </c>
      <c r="G9" s="76"/>
      <c r="H9" s="67"/>
      <c r="I9" s="67"/>
    </row>
    <row r="10" spans="1:9" ht="30" customHeight="1">
      <c r="A10" s="19" t="s">
        <v>21</v>
      </c>
      <c r="B10" s="31">
        <v>200</v>
      </c>
      <c r="C10" s="28">
        <v>1800</v>
      </c>
      <c r="D10" s="28">
        <v>1735</v>
      </c>
      <c r="E10" s="39"/>
      <c r="F10" s="37"/>
      <c r="G10" s="78" t="s">
        <v>22</v>
      </c>
      <c r="H10" s="67"/>
      <c r="I10" s="67"/>
    </row>
    <row r="11" spans="1:9" ht="30" customHeight="1">
      <c r="A11" s="19" t="s">
        <v>23</v>
      </c>
      <c r="B11" s="28">
        <v>109</v>
      </c>
      <c r="C11" s="28">
        <v>51</v>
      </c>
      <c r="D11" s="28">
        <v>47</v>
      </c>
      <c r="E11" s="39"/>
      <c r="F11" s="37"/>
      <c r="G11" s="76"/>
      <c r="H11" s="67"/>
      <c r="I11" s="67"/>
    </row>
    <row r="12" spans="1:9" ht="30" customHeight="1">
      <c r="A12" s="19" t="s">
        <v>24</v>
      </c>
      <c r="B12" s="28">
        <v>139</v>
      </c>
      <c r="C12" s="28">
        <v>1184</v>
      </c>
      <c r="D12" s="28">
        <v>1244</v>
      </c>
      <c r="E12" s="39"/>
      <c r="F12" s="37"/>
      <c r="G12" s="22" t="s">
        <v>25</v>
      </c>
      <c r="H12" s="18"/>
      <c r="I12" s="18"/>
    </row>
    <row r="13" spans="1:9" ht="30" customHeight="1">
      <c r="A13" s="19" t="s">
        <v>26</v>
      </c>
      <c r="B13" s="28">
        <v>92</v>
      </c>
      <c r="C13" s="28">
        <v>786</v>
      </c>
      <c r="D13" s="28">
        <v>900</v>
      </c>
      <c r="E13" s="39"/>
      <c r="F13" s="37" t="s">
        <v>117</v>
      </c>
      <c r="G13" s="22" t="s">
        <v>29</v>
      </c>
      <c r="H13" s="18"/>
      <c r="I13" s="18"/>
    </row>
    <row r="14" spans="1:9" ht="30" customHeight="1">
      <c r="A14" s="19" t="s">
        <v>30</v>
      </c>
      <c r="B14" s="28">
        <f>B12-B13</f>
        <v>47</v>
      </c>
      <c r="C14" s="28">
        <f>C12-C13</f>
        <v>398</v>
      </c>
      <c r="D14" s="28">
        <f>D12-D13</f>
        <v>344</v>
      </c>
      <c r="E14" s="39"/>
      <c r="F14" s="37"/>
      <c r="G14" s="78" t="s">
        <v>31</v>
      </c>
      <c r="H14" s="18"/>
      <c r="I14" s="18"/>
    </row>
    <row r="15" spans="1:9" ht="30" customHeight="1">
      <c r="A15" s="19" t="s">
        <v>32</v>
      </c>
      <c r="B15" s="28">
        <v>10</v>
      </c>
      <c r="C15" s="28">
        <v>108</v>
      </c>
      <c r="D15" s="28">
        <v>99</v>
      </c>
      <c r="E15" s="39"/>
      <c r="F15" s="37" t="s">
        <v>118</v>
      </c>
      <c r="G15" s="76"/>
      <c r="H15" s="18"/>
      <c r="I15" s="18"/>
    </row>
    <row r="16" spans="1:9" ht="30" customHeight="1">
      <c r="A16" s="19" t="s">
        <v>35</v>
      </c>
      <c r="B16" s="28">
        <v>41.8</v>
      </c>
      <c r="C16" s="28">
        <v>880</v>
      </c>
      <c r="D16" s="28">
        <v>963</v>
      </c>
      <c r="E16" s="39"/>
      <c r="F16" s="37" t="s">
        <v>20</v>
      </c>
      <c r="G16" s="78" t="s">
        <v>36</v>
      </c>
      <c r="H16" s="18"/>
      <c r="I16" s="18"/>
    </row>
    <row r="17" spans="1:9" ht="30" customHeight="1">
      <c r="A17" s="19" t="s">
        <v>37</v>
      </c>
      <c r="B17" s="28">
        <v>11</v>
      </c>
      <c r="C17" s="28">
        <v>66</v>
      </c>
      <c r="D17" s="28">
        <v>74</v>
      </c>
      <c r="E17" s="39"/>
      <c r="F17" s="37" t="s">
        <v>119</v>
      </c>
      <c r="G17" s="76"/>
      <c r="H17" s="18"/>
      <c r="I17" s="18"/>
    </row>
    <row r="18" spans="1:9" ht="30" customHeight="1">
      <c r="A18" s="19" t="s">
        <v>40</v>
      </c>
      <c r="B18" s="28"/>
      <c r="C18" s="28">
        <v>4.4800000000000004</v>
      </c>
      <c r="D18" s="28">
        <v>4.5599999999999996</v>
      </c>
      <c r="E18" s="39"/>
      <c r="F18" s="37"/>
      <c r="G18" s="78" t="s">
        <v>41</v>
      </c>
      <c r="H18" s="18"/>
      <c r="I18" s="18"/>
    </row>
    <row r="19" spans="1:9" ht="30" customHeight="1">
      <c r="A19" s="19" t="s">
        <v>42</v>
      </c>
      <c r="B19" s="28"/>
      <c r="C19" s="28">
        <v>3.74</v>
      </c>
      <c r="D19" s="33">
        <v>3.9</v>
      </c>
      <c r="E19" s="39"/>
      <c r="F19" s="37"/>
      <c r="G19" s="76"/>
      <c r="H19" s="18"/>
      <c r="I19" s="18"/>
    </row>
    <row r="20" spans="1:9" ht="30" customHeight="1">
      <c r="A20" s="19" t="s">
        <v>43</v>
      </c>
      <c r="B20" s="28"/>
      <c r="C20" s="28">
        <f>C18-C19</f>
        <v>0.74000000000000021</v>
      </c>
      <c r="D20" s="28">
        <f>D18-D19</f>
        <v>0.6599999999999997</v>
      </c>
      <c r="E20" s="39"/>
      <c r="F20" s="37"/>
      <c r="G20" s="21" t="s">
        <v>45</v>
      </c>
      <c r="H20" s="18"/>
      <c r="I20" s="18"/>
    </row>
    <row r="21" spans="1:9" ht="30" customHeight="1">
      <c r="A21" s="19" t="s">
        <v>46</v>
      </c>
      <c r="B21" s="28"/>
      <c r="C21" s="33">
        <v>3.6</v>
      </c>
      <c r="D21" s="28">
        <v>3.59</v>
      </c>
      <c r="E21" s="39"/>
      <c r="F21" s="37" t="s">
        <v>120</v>
      </c>
      <c r="G21" s="20" t="s">
        <v>48</v>
      </c>
      <c r="H21" s="18"/>
      <c r="I21" s="18"/>
    </row>
    <row r="22" spans="1:9" ht="20.100000000000001" customHeight="1">
      <c r="A22" s="18" t="s">
        <v>49</v>
      </c>
      <c r="B22" s="28">
        <v>0.03</v>
      </c>
      <c r="C22" s="28">
        <v>0.11</v>
      </c>
      <c r="D22" s="33">
        <v>0.11</v>
      </c>
      <c r="E22" s="40"/>
      <c r="F22" s="37" t="s">
        <v>50</v>
      </c>
      <c r="G22" s="78" t="s">
        <v>52</v>
      </c>
      <c r="H22" s="18"/>
      <c r="I22" s="18"/>
    </row>
    <row r="23" spans="1:9" ht="20.100000000000001" customHeight="1">
      <c r="A23" s="18" t="s">
        <v>53</v>
      </c>
      <c r="B23" s="28"/>
      <c r="C23" s="28">
        <v>0.99</v>
      </c>
      <c r="D23" s="28">
        <v>1.28</v>
      </c>
      <c r="E23" s="41"/>
      <c r="F23" s="37" t="s">
        <v>121</v>
      </c>
      <c r="G23" s="76"/>
      <c r="H23" s="18"/>
      <c r="I23" s="18"/>
    </row>
    <row r="24" spans="1:9" ht="20.100000000000001" customHeight="1">
      <c r="A24" s="18" t="s">
        <v>55</v>
      </c>
      <c r="B24" s="28"/>
      <c r="C24" s="28">
        <v>10</v>
      </c>
      <c r="D24" s="28">
        <v>10</v>
      </c>
      <c r="E24" s="40"/>
      <c r="F24" s="37"/>
      <c r="G24" s="78" t="s">
        <v>56</v>
      </c>
      <c r="H24" s="18"/>
      <c r="I24" s="18"/>
    </row>
    <row r="25" spans="1:9" ht="20.100000000000001" customHeight="1">
      <c r="A25" s="18"/>
      <c r="B25" s="28"/>
      <c r="C25" s="28"/>
      <c r="D25" s="28"/>
      <c r="E25" s="42"/>
      <c r="F25" s="37"/>
      <c r="G25" s="76"/>
      <c r="H25" s="18"/>
      <c r="I25" s="18"/>
    </row>
    <row r="26" spans="1:9" ht="20.100000000000001" customHeight="1">
      <c r="A26" s="18" t="s">
        <v>57</v>
      </c>
      <c r="B26" s="28"/>
      <c r="C26" s="28">
        <v>28.3</v>
      </c>
      <c r="D26" s="28">
        <v>24.33</v>
      </c>
      <c r="E26" s="41"/>
      <c r="F26" s="37" t="s">
        <v>122</v>
      </c>
      <c r="G26" s="13" t="s">
        <v>59</v>
      </c>
      <c r="H26" s="18"/>
      <c r="I26" s="18"/>
    </row>
    <row r="27" spans="1:9" ht="20.100000000000001" customHeight="1">
      <c r="A27" s="18" t="s">
        <v>60</v>
      </c>
      <c r="B27" s="28"/>
      <c r="C27" s="35">
        <v>1.24</v>
      </c>
      <c r="D27" s="35">
        <v>0.85</v>
      </c>
      <c r="E27" s="43"/>
      <c r="F27" s="37" t="s">
        <v>123</v>
      </c>
      <c r="G27" s="13" t="s">
        <v>61</v>
      </c>
      <c r="H27" s="18"/>
      <c r="I27" s="18"/>
    </row>
    <row r="28" spans="1:9" ht="20.100000000000001" customHeight="1">
      <c r="A28" s="18" t="s">
        <v>62</v>
      </c>
      <c r="B28" s="28">
        <v>0.1</v>
      </c>
      <c r="C28" s="28">
        <v>3.3</v>
      </c>
      <c r="D28" s="34">
        <v>2.2999999999999998</v>
      </c>
      <c r="E28" s="39"/>
      <c r="F28" s="37" t="s">
        <v>63</v>
      </c>
      <c r="G28" s="17"/>
      <c r="H28" s="18"/>
      <c r="I28" s="18"/>
    </row>
    <row r="29" spans="1:9" ht="20.100000000000001" customHeight="1">
      <c r="A29" s="23" t="s">
        <v>64</v>
      </c>
      <c r="B29" s="28">
        <v>7.0000000000000007E-2</v>
      </c>
      <c r="C29" s="28">
        <v>0.03</v>
      </c>
      <c r="D29" s="28">
        <v>0.03</v>
      </c>
      <c r="E29" s="39"/>
      <c r="F29" s="37" t="s">
        <v>65</v>
      </c>
      <c r="G29" s="17"/>
      <c r="H29" s="18"/>
      <c r="I29" s="18"/>
    </row>
    <row r="30" spans="1:9" ht="20.100000000000001" customHeight="1">
      <c r="A30" s="18" t="s">
        <v>66</v>
      </c>
      <c r="B30" s="28"/>
      <c r="C30" s="28" t="s">
        <v>104</v>
      </c>
      <c r="D30" s="28" t="s">
        <v>93</v>
      </c>
      <c r="E30" s="39"/>
      <c r="F30" s="37" t="s">
        <v>124</v>
      </c>
      <c r="G30" s="17"/>
      <c r="H30" s="18"/>
      <c r="I30" s="18"/>
    </row>
    <row r="31" spans="1:9" ht="20.100000000000001" customHeight="1">
      <c r="A31" s="18" t="s">
        <v>67</v>
      </c>
      <c r="B31" s="28">
        <v>0.27</v>
      </c>
      <c r="C31" s="28">
        <v>1.37</v>
      </c>
      <c r="D31" s="28">
        <v>0.95</v>
      </c>
      <c r="E31" s="39"/>
      <c r="F31" s="37" t="s">
        <v>125</v>
      </c>
      <c r="G31" s="17"/>
      <c r="H31" s="18"/>
      <c r="I31" s="18"/>
    </row>
    <row r="32" spans="1:9" ht="20.100000000000001" customHeight="1">
      <c r="A32" s="18" t="s">
        <v>68</v>
      </c>
      <c r="B32" s="28"/>
      <c r="C32" s="28" t="s">
        <v>69</v>
      </c>
      <c r="D32" s="28" t="s">
        <v>69</v>
      </c>
      <c r="E32" s="44"/>
      <c r="F32" s="37" t="s">
        <v>126</v>
      </c>
      <c r="G32" s="17"/>
      <c r="H32" s="18"/>
      <c r="I32" s="18"/>
    </row>
    <row r="33" spans="1:9" ht="20.100000000000001" customHeight="1">
      <c r="A33" s="18" t="s">
        <v>70</v>
      </c>
      <c r="B33" s="28">
        <v>8</v>
      </c>
      <c r="C33" s="28">
        <v>74</v>
      </c>
      <c r="D33" s="28">
        <v>86</v>
      </c>
      <c r="E33" s="45"/>
      <c r="F33" s="37"/>
      <c r="G33" s="17"/>
      <c r="H33" s="18"/>
      <c r="I33" s="18"/>
    </row>
    <row r="34" spans="1:9" ht="20.100000000000001" customHeight="1">
      <c r="A34" s="18" t="s">
        <v>71</v>
      </c>
      <c r="B34" s="28">
        <v>4</v>
      </c>
      <c r="C34" s="28">
        <v>13</v>
      </c>
      <c r="D34" s="28">
        <v>20</v>
      </c>
      <c r="E34" s="46"/>
      <c r="F34" s="37"/>
      <c r="G34" s="17"/>
      <c r="H34" s="18"/>
      <c r="I34" s="18"/>
    </row>
    <row r="35" spans="1:9" ht="20.100000000000001" customHeight="1">
      <c r="A35" s="18" t="s">
        <v>72</v>
      </c>
      <c r="B35" s="28">
        <v>0.12</v>
      </c>
      <c r="C35" s="28">
        <v>0.31</v>
      </c>
      <c r="D35" s="28">
        <v>0.32</v>
      </c>
      <c r="E35" s="46"/>
      <c r="F35" s="37"/>
      <c r="G35" s="17"/>
      <c r="H35" s="18"/>
      <c r="I35" s="18"/>
    </row>
    <row r="36" spans="1:9" ht="20.100000000000001" customHeight="1">
      <c r="A36" s="18" t="s">
        <v>73</v>
      </c>
      <c r="B36" s="28"/>
      <c r="C36" s="33">
        <f>C13/B13</f>
        <v>8.5434782608695645</v>
      </c>
      <c r="D36" s="33">
        <f>D13/B13</f>
        <v>9.7826086956521738</v>
      </c>
      <c r="E36" s="46"/>
      <c r="F36" s="37"/>
      <c r="G36" s="66" t="s">
        <v>74</v>
      </c>
      <c r="H36" s="67"/>
      <c r="I36" s="18"/>
    </row>
    <row r="37" spans="1:9" ht="20.100000000000001" customHeight="1">
      <c r="A37" s="18" t="s">
        <v>75</v>
      </c>
      <c r="B37" s="28"/>
      <c r="C37" s="28">
        <v>0.69</v>
      </c>
      <c r="D37" s="33">
        <v>0.71</v>
      </c>
      <c r="E37" s="46"/>
      <c r="F37" s="37" t="s">
        <v>127</v>
      </c>
      <c r="G37" s="66" t="s">
        <v>77</v>
      </c>
      <c r="H37" s="67"/>
      <c r="I37" s="18"/>
    </row>
    <row r="38" spans="1:9" ht="20.100000000000001" customHeight="1">
      <c r="A38" s="18" t="s">
        <v>78</v>
      </c>
      <c r="B38" s="28"/>
      <c r="C38" s="28">
        <v>6.43</v>
      </c>
      <c r="D38" s="28">
        <v>6.38</v>
      </c>
      <c r="E38" s="46"/>
      <c r="F38" s="37" t="s">
        <v>79</v>
      </c>
      <c r="G38" s="66" t="s">
        <v>80</v>
      </c>
      <c r="H38" s="67"/>
      <c r="I38" s="18"/>
    </row>
    <row r="39" spans="1:9" ht="20.100000000000001" customHeight="1">
      <c r="A39" s="18"/>
      <c r="B39" s="28"/>
      <c r="C39" s="28"/>
      <c r="D39" s="28"/>
      <c r="E39" s="29"/>
      <c r="F39" s="30"/>
      <c r="G39" s="66" t="s">
        <v>81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82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83</v>
      </c>
      <c r="H41" s="67"/>
      <c r="I41" s="18"/>
    </row>
    <row r="42" spans="1:9">
      <c r="A42" s="79" t="s">
        <v>84</v>
      </c>
      <c r="B42" s="100" t="s">
        <v>116</v>
      </c>
      <c r="C42" s="101"/>
      <c r="D42" s="101"/>
      <c r="E42" s="101"/>
      <c r="F42" s="101"/>
      <c r="G42" s="101"/>
      <c r="H42" s="101"/>
      <c r="I42" s="102"/>
    </row>
    <row r="43" spans="1:9">
      <c r="A43" s="80"/>
      <c r="B43" s="100"/>
      <c r="C43" s="101"/>
      <c r="D43" s="101"/>
      <c r="E43" s="101"/>
      <c r="F43" s="101"/>
      <c r="G43" s="101"/>
      <c r="H43" s="101"/>
      <c r="I43" s="102"/>
    </row>
    <row r="44" spans="1:9">
      <c r="A44" s="80"/>
      <c r="B44" s="100"/>
      <c r="C44" s="101"/>
      <c r="D44" s="101"/>
      <c r="E44" s="101"/>
      <c r="F44" s="101"/>
      <c r="G44" s="101"/>
      <c r="H44" s="101"/>
      <c r="I44" s="102"/>
    </row>
    <row r="45" spans="1:9">
      <c r="A45" s="80"/>
      <c r="B45" s="100"/>
      <c r="C45" s="101"/>
      <c r="D45" s="101"/>
      <c r="E45" s="101"/>
      <c r="F45" s="101"/>
      <c r="G45" s="101"/>
      <c r="H45" s="101"/>
      <c r="I45" s="102"/>
    </row>
    <row r="46" spans="1:9">
      <c r="A46" s="80"/>
      <c r="B46" s="100"/>
      <c r="C46" s="101"/>
      <c r="D46" s="101"/>
      <c r="E46" s="101"/>
      <c r="F46" s="101"/>
      <c r="G46" s="101"/>
      <c r="H46" s="101"/>
      <c r="I46" s="102"/>
    </row>
    <row r="47" spans="1:9">
      <c r="A47" s="80"/>
      <c r="B47" s="100"/>
      <c r="C47" s="101"/>
      <c r="D47" s="101"/>
      <c r="E47" s="101"/>
      <c r="F47" s="101"/>
      <c r="G47" s="101"/>
      <c r="H47" s="101"/>
      <c r="I47" s="102"/>
    </row>
    <row r="48" spans="1:9">
      <c r="A48" s="80"/>
      <c r="B48" s="103"/>
      <c r="C48" s="104"/>
      <c r="D48" s="104"/>
      <c r="E48" s="104"/>
      <c r="F48" s="104"/>
      <c r="G48" s="104"/>
      <c r="H48" s="104"/>
      <c r="I48" s="105"/>
    </row>
    <row r="49" spans="1:9">
      <c r="A49" s="88" t="s">
        <v>85</v>
      </c>
      <c r="B49" s="68"/>
      <c r="C49" s="66"/>
      <c r="D49" s="89" t="s">
        <v>86</v>
      </c>
      <c r="E49" s="90"/>
      <c r="F49" s="91"/>
      <c r="G49" s="92" t="s">
        <v>87</v>
      </c>
      <c r="H49" s="68"/>
      <c r="I49" s="93"/>
    </row>
    <row r="50" spans="1:9" ht="17.25" customHeight="1" thickBot="1">
      <c r="A50" s="94" t="s">
        <v>88</v>
      </c>
      <c r="B50" s="95"/>
      <c r="C50" s="96"/>
      <c r="D50" s="97" t="s">
        <v>89</v>
      </c>
      <c r="E50" s="95"/>
      <c r="F50" s="96"/>
      <c r="G50" s="98"/>
      <c r="H50" s="98"/>
      <c r="I50" s="99"/>
    </row>
  </sheetData>
  <mergeCells count="27">
    <mergeCell ref="A49:C49"/>
    <mergeCell ref="D49:F49"/>
    <mergeCell ref="G49:I49"/>
    <mergeCell ref="A50:C50"/>
    <mergeCell ref="D50:F50"/>
    <mergeCell ref="G50:I50"/>
    <mergeCell ref="A42:A48"/>
    <mergeCell ref="B42:I48"/>
    <mergeCell ref="G14:G15"/>
    <mergeCell ref="G16:G17"/>
    <mergeCell ref="G18:G19"/>
    <mergeCell ref="G22:G23"/>
    <mergeCell ref="G24:G25"/>
    <mergeCell ref="G36:H36"/>
    <mergeCell ref="G37:H37"/>
    <mergeCell ref="G38:H38"/>
    <mergeCell ref="G39:H39"/>
    <mergeCell ref="G40:H40"/>
    <mergeCell ref="G41:H41"/>
    <mergeCell ref="G10:G11"/>
    <mergeCell ref="H10:H11"/>
    <mergeCell ref="I10:I11"/>
    <mergeCell ref="B6:D6"/>
    <mergeCell ref="G6:I6"/>
    <mergeCell ref="G8:G9"/>
    <mergeCell ref="H8:H9"/>
    <mergeCell ref="I8:I9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E585-9C1D-493F-80E7-1EA33F9C047A}">
  <sheetPr codeName="工作表5"/>
  <dimension ref="A1:I50"/>
  <sheetViews>
    <sheetView topLeftCell="A6" workbookViewId="0">
      <selection activeCell="C23" sqref="C23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100</v>
      </c>
      <c r="C4" s="8" t="s">
        <v>105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30" customHeight="1">
      <c r="A7" s="16" t="s">
        <v>9</v>
      </c>
      <c r="B7" s="24" t="s">
        <v>10</v>
      </c>
      <c r="C7" s="25" t="s">
        <v>11</v>
      </c>
      <c r="D7" s="25" t="s">
        <v>12</v>
      </c>
      <c r="E7" s="38"/>
      <c r="F7" s="47" t="s">
        <v>129</v>
      </c>
      <c r="G7" s="17"/>
      <c r="H7" s="14" t="s">
        <v>13</v>
      </c>
      <c r="I7" s="14" t="s">
        <v>14</v>
      </c>
    </row>
    <row r="8" spans="1:9" ht="21" customHeight="1">
      <c r="A8" s="18" t="s">
        <v>15</v>
      </c>
      <c r="B8" s="33">
        <v>7.9</v>
      </c>
      <c r="C8" s="33">
        <v>7.8</v>
      </c>
      <c r="D8" s="33">
        <v>7.82</v>
      </c>
      <c r="E8" s="39"/>
      <c r="F8" s="37" t="s">
        <v>16</v>
      </c>
      <c r="G8" s="75" t="s">
        <v>18</v>
      </c>
      <c r="H8" s="77"/>
      <c r="I8" s="77"/>
    </row>
    <row r="9" spans="1:9" ht="30" customHeight="1">
      <c r="A9" s="19" t="s">
        <v>19</v>
      </c>
      <c r="B9" s="28">
        <v>277</v>
      </c>
      <c r="C9" s="28">
        <v>2320</v>
      </c>
      <c r="D9" s="28">
        <v>2330</v>
      </c>
      <c r="E9" s="39"/>
      <c r="F9" s="37" t="s">
        <v>20</v>
      </c>
      <c r="G9" s="76"/>
      <c r="H9" s="67"/>
      <c r="I9" s="67"/>
    </row>
    <row r="10" spans="1:9" ht="30" customHeight="1">
      <c r="A10" s="19" t="s">
        <v>21</v>
      </c>
      <c r="B10" s="31">
        <v>205</v>
      </c>
      <c r="C10" s="28">
        <v>1740</v>
      </c>
      <c r="D10" s="28">
        <v>1750</v>
      </c>
      <c r="E10" s="39"/>
      <c r="F10" s="37"/>
      <c r="G10" s="78" t="s">
        <v>22</v>
      </c>
      <c r="H10" s="67"/>
      <c r="I10" s="67"/>
    </row>
    <row r="11" spans="1:9" ht="30" customHeight="1">
      <c r="A11" s="19" t="s">
        <v>23</v>
      </c>
      <c r="B11" s="28">
        <v>107</v>
      </c>
      <c r="C11" s="28">
        <v>57</v>
      </c>
      <c r="D11" s="28">
        <v>46</v>
      </c>
      <c r="E11" s="39"/>
      <c r="F11" s="37"/>
      <c r="G11" s="76"/>
      <c r="H11" s="67"/>
      <c r="I11" s="67"/>
    </row>
    <row r="12" spans="1:9" ht="30" customHeight="1">
      <c r="A12" s="19" t="s">
        <v>24</v>
      </c>
      <c r="B12" s="28">
        <v>142</v>
      </c>
      <c r="C12" s="28">
        <v>1138</v>
      </c>
      <c r="D12" s="28">
        <v>1232</v>
      </c>
      <c r="E12" s="39"/>
      <c r="F12" s="37"/>
      <c r="G12" s="22" t="s">
        <v>25</v>
      </c>
      <c r="H12" s="18"/>
      <c r="I12" s="18"/>
    </row>
    <row r="13" spans="1:9" ht="30" customHeight="1">
      <c r="A13" s="19" t="s">
        <v>26</v>
      </c>
      <c r="B13" s="28">
        <v>92</v>
      </c>
      <c r="C13" s="28">
        <v>754</v>
      </c>
      <c r="D13" s="28">
        <v>890</v>
      </c>
      <c r="E13" s="39"/>
      <c r="F13" s="37" t="s">
        <v>117</v>
      </c>
      <c r="G13" s="22" t="s">
        <v>29</v>
      </c>
      <c r="H13" s="18"/>
      <c r="I13" s="18"/>
    </row>
    <row r="14" spans="1:9" ht="30" customHeight="1">
      <c r="A14" s="19" t="s">
        <v>30</v>
      </c>
      <c r="B14" s="28">
        <f>B12-B13</f>
        <v>50</v>
      </c>
      <c r="C14" s="28">
        <f>C12-C13</f>
        <v>384</v>
      </c>
      <c r="D14" s="28">
        <f>D12-D13</f>
        <v>342</v>
      </c>
      <c r="E14" s="39"/>
      <c r="F14" s="37"/>
      <c r="G14" s="78" t="s">
        <v>31</v>
      </c>
      <c r="H14" s="18"/>
      <c r="I14" s="18"/>
    </row>
    <row r="15" spans="1:9" ht="30" customHeight="1">
      <c r="A15" s="19" t="s">
        <v>32</v>
      </c>
      <c r="B15" s="28">
        <v>10</v>
      </c>
      <c r="C15" s="28">
        <v>112</v>
      </c>
      <c r="D15" s="28">
        <v>94</v>
      </c>
      <c r="E15" s="39"/>
      <c r="F15" s="37" t="s">
        <v>118</v>
      </c>
      <c r="G15" s="76"/>
      <c r="H15" s="18"/>
      <c r="I15" s="18"/>
    </row>
    <row r="16" spans="1:9" ht="30" customHeight="1">
      <c r="A16" s="19" t="s">
        <v>35</v>
      </c>
      <c r="B16" s="28">
        <v>55</v>
      </c>
      <c r="C16" s="28">
        <v>1094</v>
      </c>
      <c r="D16" s="28">
        <v>1213</v>
      </c>
      <c r="E16" s="39"/>
      <c r="F16" s="37" t="s">
        <v>20</v>
      </c>
      <c r="G16" s="78" t="s">
        <v>36</v>
      </c>
      <c r="H16" s="18"/>
      <c r="I16" s="18"/>
    </row>
    <row r="17" spans="1:9" ht="30" customHeight="1">
      <c r="A17" s="19" t="s">
        <v>37</v>
      </c>
      <c r="B17" s="28">
        <v>10</v>
      </c>
      <c r="C17" s="28">
        <v>67</v>
      </c>
      <c r="D17" s="28">
        <v>77</v>
      </c>
      <c r="E17" s="39"/>
      <c r="F17" s="37" t="s">
        <v>119</v>
      </c>
      <c r="G17" s="76"/>
      <c r="H17" s="18"/>
      <c r="I17" s="18"/>
    </row>
    <row r="18" spans="1:9" ht="30" customHeight="1">
      <c r="A18" s="19" t="s">
        <v>40</v>
      </c>
      <c r="B18" s="28"/>
      <c r="C18" s="28">
        <v>4.6100000000000003</v>
      </c>
      <c r="D18" s="33">
        <v>4.7</v>
      </c>
      <c r="E18" s="39"/>
      <c r="F18" s="37"/>
      <c r="G18" s="78" t="s">
        <v>41</v>
      </c>
      <c r="H18" s="18"/>
      <c r="I18" s="18"/>
    </row>
    <row r="19" spans="1:9" ht="30" customHeight="1">
      <c r="A19" s="19" t="s">
        <v>42</v>
      </c>
      <c r="B19" s="28"/>
      <c r="C19" s="28">
        <v>3.93</v>
      </c>
      <c r="D19" s="33">
        <v>4.33</v>
      </c>
      <c r="E19" s="39"/>
      <c r="F19" s="37"/>
      <c r="G19" s="76"/>
      <c r="H19" s="18"/>
      <c r="I19" s="18"/>
    </row>
    <row r="20" spans="1:9" ht="30" customHeight="1">
      <c r="A20" s="19" t="s">
        <v>43</v>
      </c>
      <c r="B20" s="28"/>
      <c r="C20" s="28">
        <f>C18-C19</f>
        <v>0.68000000000000016</v>
      </c>
      <c r="D20" s="28">
        <f>D18-D19</f>
        <v>0.37000000000000011</v>
      </c>
      <c r="E20" s="39"/>
      <c r="F20" s="37"/>
      <c r="G20" s="21" t="s">
        <v>45</v>
      </c>
      <c r="H20" s="18"/>
      <c r="I20" s="18"/>
    </row>
    <row r="21" spans="1:9" ht="30" customHeight="1">
      <c r="A21" s="19" t="s">
        <v>46</v>
      </c>
      <c r="B21" s="28"/>
      <c r="C21" s="33">
        <v>3.63</v>
      </c>
      <c r="D21" s="28">
        <v>3.81</v>
      </c>
      <c r="E21" s="39"/>
      <c r="F21" s="37" t="s">
        <v>120</v>
      </c>
      <c r="G21" s="20" t="s">
        <v>48</v>
      </c>
      <c r="H21" s="18"/>
      <c r="I21" s="18"/>
    </row>
    <row r="22" spans="1:9" ht="20.100000000000001" customHeight="1">
      <c r="A22" s="18" t="s">
        <v>49</v>
      </c>
      <c r="B22" s="28">
        <v>0.04</v>
      </c>
      <c r="C22" s="28">
        <v>0.11</v>
      </c>
      <c r="D22" s="33">
        <v>0.11</v>
      </c>
      <c r="E22" s="40"/>
      <c r="F22" s="37" t="s">
        <v>50</v>
      </c>
      <c r="G22" s="78" t="s">
        <v>52</v>
      </c>
      <c r="H22" s="18"/>
      <c r="I22" s="18"/>
    </row>
    <row r="23" spans="1:9" ht="20.100000000000001" customHeight="1">
      <c r="A23" s="18" t="s">
        <v>53</v>
      </c>
      <c r="B23" s="28"/>
      <c r="C23" s="28">
        <v>0.87</v>
      </c>
      <c r="D23" s="28">
        <v>1.05</v>
      </c>
      <c r="E23" s="41"/>
      <c r="F23" s="37" t="s">
        <v>121</v>
      </c>
      <c r="G23" s="76"/>
      <c r="H23" s="18"/>
      <c r="I23" s="18"/>
    </row>
    <row r="24" spans="1:9" ht="20.100000000000001" customHeight="1">
      <c r="A24" s="18" t="s">
        <v>55</v>
      </c>
      <c r="B24" s="28"/>
      <c r="C24" s="28">
        <v>10</v>
      </c>
      <c r="D24" s="28">
        <v>10</v>
      </c>
      <c r="E24" s="40"/>
      <c r="F24" s="37"/>
      <c r="G24" s="78" t="s">
        <v>56</v>
      </c>
      <c r="H24" s="18"/>
      <c r="I24" s="18"/>
    </row>
    <row r="25" spans="1:9" ht="20.100000000000001" customHeight="1">
      <c r="A25" s="18"/>
      <c r="B25" s="28"/>
      <c r="C25" s="28"/>
      <c r="D25" s="28"/>
      <c r="E25" s="42"/>
      <c r="F25" s="37"/>
      <c r="G25" s="76"/>
      <c r="H25" s="18"/>
      <c r="I25" s="18"/>
    </row>
    <row r="26" spans="1:9" ht="20.100000000000001" customHeight="1">
      <c r="A26" s="18" t="s">
        <v>57</v>
      </c>
      <c r="B26" s="28"/>
      <c r="C26" s="28">
        <v>31.61</v>
      </c>
      <c r="D26" s="28">
        <v>21.82</v>
      </c>
      <c r="E26" s="41"/>
      <c r="F26" s="37" t="s">
        <v>122</v>
      </c>
      <c r="G26" s="13" t="s">
        <v>59</v>
      </c>
      <c r="H26" s="18"/>
      <c r="I26" s="18"/>
    </row>
    <row r="27" spans="1:9" ht="20.100000000000001" customHeight="1">
      <c r="A27" s="18" t="s">
        <v>60</v>
      </c>
      <c r="B27" s="28"/>
      <c r="C27" s="35">
        <v>1.23</v>
      </c>
      <c r="D27" s="35">
        <v>1.24</v>
      </c>
      <c r="E27" s="43"/>
      <c r="F27" s="37" t="s">
        <v>123</v>
      </c>
      <c r="G27" s="13" t="s">
        <v>61</v>
      </c>
      <c r="H27" s="18"/>
      <c r="I27" s="18"/>
    </row>
    <row r="28" spans="1:9" ht="20.100000000000001" customHeight="1">
      <c r="A28" s="18" t="s">
        <v>62</v>
      </c>
      <c r="B28" s="28">
        <v>0.3</v>
      </c>
      <c r="C28" s="28">
        <v>3.3</v>
      </c>
      <c r="D28" s="34">
        <v>3</v>
      </c>
      <c r="E28" s="39"/>
      <c r="F28" s="37" t="s">
        <v>63</v>
      </c>
      <c r="G28" s="17"/>
      <c r="H28" s="18"/>
      <c r="I28" s="18"/>
    </row>
    <row r="29" spans="1:9" ht="20.100000000000001" customHeight="1">
      <c r="A29" s="23" t="s">
        <v>64</v>
      </c>
      <c r="B29" s="28">
        <v>0.05</v>
      </c>
      <c r="C29" s="28">
        <v>0.04</v>
      </c>
      <c r="D29" s="28">
        <v>0.04</v>
      </c>
      <c r="E29" s="39"/>
      <c r="F29" s="37" t="s">
        <v>65</v>
      </c>
      <c r="G29" s="17"/>
      <c r="H29" s="18"/>
      <c r="I29" s="18"/>
    </row>
    <row r="30" spans="1:9" ht="20.100000000000001" customHeight="1">
      <c r="A30" s="18" t="s">
        <v>66</v>
      </c>
      <c r="B30" s="28"/>
      <c r="C30" s="28" t="s">
        <v>106</v>
      </c>
      <c r="D30" s="28" t="s">
        <v>107</v>
      </c>
      <c r="E30" s="39"/>
      <c r="F30" s="37" t="s">
        <v>124</v>
      </c>
      <c r="G30" s="17"/>
      <c r="H30" s="18"/>
      <c r="I30" s="18"/>
    </row>
    <row r="31" spans="1:9" ht="20.100000000000001" customHeight="1">
      <c r="A31" s="18" t="s">
        <v>67</v>
      </c>
      <c r="B31" s="28">
        <v>0.33</v>
      </c>
      <c r="C31" s="28">
        <v>1.79</v>
      </c>
      <c r="D31" s="33">
        <v>1</v>
      </c>
      <c r="E31" s="39"/>
      <c r="F31" s="37" t="s">
        <v>125</v>
      </c>
      <c r="G31" s="17"/>
      <c r="H31" s="18"/>
      <c r="I31" s="18"/>
    </row>
    <row r="32" spans="1:9" ht="20.100000000000001" customHeight="1">
      <c r="A32" s="18" t="s">
        <v>68</v>
      </c>
      <c r="B32" s="28"/>
      <c r="C32" s="28" t="s">
        <v>69</v>
      </c>
      <c r="D32" s="28" t="s">
        <v>69</v>
      </c>
      <c r="E32" s="44"/>
      <c r="F32" s="37" t="s">
        <v>126</v>
      </c>
      <c r="G32" s="17"/>
      <c r="H32" s="18"/>
      <c r="I32" s="18"/>
    </row>
    <row r="33" spans="1:9" ht="20.100000000000001" customHeight="1">
      <c r="A33" s="18" t="s">
        <v>70</v>
      </c>
      <c r="B33" s="28">
        <v>15</v>
      </c>
      <c r="C33" s="28">
        <v>85</v>
      </c>
      <c r="D33" s="28">
        <v>93</v>
      </c>
      <c r="E33" s="45"/>
      <c r="F33" s="37"/>
      <c r="G33" s="17"/>
      <c r="H33" s="18"/>
      <c r="I33" s="18"/>
    </row>
    <row r="34" spans="1:9" ht="20.100000000000001" customHeight="1">
      <c r="A34" s="18" t="s">
        <v>71</v>
      </c>
      <c r="B34" s="28">
        <v>16</v>
      </c>
      <c r="C34" s="28">
        <v>10</v>
      </c>
      <c r="D34" s="28">
        <v>17</v>
      </c>
      <c r="E34" s="46"/>
      <c r="F34" s="37"/>
      <c r="G34" s="17"/>
      <c r="H34" s="18"/>
      <c r="I34" s="18"/>
    </row>
    <row r="35" spans="1:9" ht="20.100000000000001" customHeight="1">
      <c r="A35" s="18" t="s">
        <v>72</v>
      </c>
      <c r="B35" s="28">
        <v>0.05</v>
      </c>
      <c r="C35" s="28">
        <v>0.12</v>
      </c>
      <c r="D35" s="28">
        <v>0.13</v>
      </c>
      <c r="E35" s="46"/>
      <c r="F35" s="37"/>
      <c r="G35" s="17"/>
      <c r="H35" s="18"/>
      <c r="I35" s="18"/>
    </row>
    <row r="36" spans="1:9" ht="20.100000000000001" customHeight="1">
      <c r="A36" s="18" t="s">
        <v>73</v>
      </c>
      <c r="B36" s="28"/>
      <c r="C36" s="33">
        <f>C13/B13</f>
        <v>8.195652173913043</v>
      </c>
      <c r="D36" s="33">
        <f>D13/B13</f>
        <v>9.6739130434782616</v>
      </c>
      <c r="E36" s="46"/>
      <c r="F36" s="37"/>
      <c r="G36" s="66" t="s">
        <v>74</v>
      </c>
      <c r="H36" s="67"/>
      <c r="I36" s="18"/>
    </row>
    <row r="37" spans="1:9" ht="20.100000000000001" customHeight="1">
      <c r="A37" s="18" t="s">
        <v>75</v>
      </c>
      <c r="B37" s="28"/>
      <c r="C37" s="28">
        <v>0.72</v>
      </c>
      <c r="D37" s="33">
        <v>0.72</v>
      </c>
      <c r="E37" s="46"/>
      <c r="F37" s="37" t="s">
        <v>127</v>
      </c>
      <c r="G37" s="66" t="s">
        <v>77</v>
      </c>
      <c r="H37" s="67"/>
      <c r="I37" s="18"/>
    </row>
    <row r="38" spans="1:9" ht="20.100000000000001" customHeight="1">
      <c r="A38" s="18" t="s">
        <v>78</v>
      </c>
      <c r="B38" s="28"/>
      <c r="C38" s="28">
        <v>6.36</v>
      </c>
      <c r="D38" s="28">
        <v>6.37</v>
      </c>
      <c r="E38" s="46"/>
      <c r="F38" s="37" t="s">
        <v>79</v>
      </c>
      <c r="G38" s="66" t="s">
        <v>80</v>
      </c>
      <c r="H38" s="67"/>
      <c r="I38" s="18"/>
    </row>
    <row r="39" spans="1:9" ht="20.100000000000001" customHeight="1">
      <c r="A39" s="18"/>
      <c r="B39" s="28"/>
      <c r="C39" s="28"/>
      <c r="D39" s="28"/>
      <c r="E39" s="29"/>
      <c r="F39" s="30"/>
      <c r="G39" s="66" t="s">
        <v>81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82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83</v>
      </c>
      <c r="H41" s="67"/>
      <c r="I41" s="18"/>
    </row>
    <row r="42" spans="1:9">
      <c r="A42" s="79" t="s">
        <v>84</v>
      </c>
      <c r="B42" s="100" t="s">
        <v>130</v>
      </c>
      <c r="C42" s="101"/>
      <c r="D42" s="101"/>
      <c r="E42" s="101"/>
      <c r="F42" s="101"/>
      <c r="G42" s="101"/>
      <c r="H42" s="101"/>
      <c r="I42" s="102"/>
    </row>
    <row r="43" spans="1:9">
      <c r="A43" s="80"/>
      <c r="B43" s="100"/>
      <c r="C43" s="101"/>
      <c r="D43" s="101"/>
      <c r="E43" s="101"/>
      <c r="F43" s="101"/>
      <c r="G43" s="101"/>
      <c r="H43" s="101"/>
      <c r="I43" s="102"/>
    </row>
    <row r="44" spans="1:9">
      <c r="A44" s="80"/>
      <c r="B44" s="100"/>
      <c r="C44" s="101"/>
      <c r="D44" s="101"/>
      <c r="E44" s="101"/>
      <c r="F44" s="101"/>
      <c r="G44" s="101"/>
      <c r="H44" s="101"/>
      <c r="I44" s="102"/>
    </row>
    <row r="45" spans="1:9">
      <c r="A45" s="80"/>
      <c r="B45" s="100"/>
      <c r="C45" s="101"/>
      <c r="D45" s="101"/>
      <c r="E45" s="101"/>
      <c r="F45" s="101"/>
      <c r="G45" s="101"/>
      <c r="H45" s="101"/>
      <c r="I45" s="102"/>
    </row>
    <row r="46" spans="1:9">
      <c r="A46" s="80"/>
      <c r="B46" s="100"/>
      <c r="C46" s="101"/>
      <c r="D46" s="101"/>
      <c r="E46" s="101"/>
      <c r="F46" s="101"/>
      <c r="G46" s="101"/>
      <c r="H46" s="101"/>
      <c r="I46" s="102"/>
    </row>
    <row r="47" spans="1:9">
      <c r="A47" s="80"/>
      <c r="B47" s="100"/>
      <c r="C47" s="101"/>
      <c r="D47" s="101"/>
      <c r="E47" s="101"/>
      <c r="F47" s="101"/>
      <c r="G47" s="101"/>
      <c r="H47" s="101"/>
      <c r="I47" s="102"/>
    </row>
    <row r="48" spans="1:9">
      <c r="A48" s="80"/>
      <c r="B48" s="103"/>
      <c r="C48" s="104"/>
      <c r="D48" s="104"/>
      <c r="E48" s="104"/>
      <c r="F48" s="104"/>
      <c r="G48" s="104"/>
      <c r="H48" s="104"/>
      <c r="I48" s="105"/>
    </row>
    <row r="49" spans="1:9">
      <c r="A49" s="88" t="s">
        <v>85</v>
      </c>
      <c r="B49" s="68"/>
      <c r="C49" s="66"/>
      <c r="D49" s="89" t="s">
        <v>86</v>
      </c>
      <c r="E49" s="90"/>
      <c r="F49" s="91"/>
      <c r="G49" s="92" t="s">
        <v>87</v>
      </c>
      <c r="H49" s="68"/>
      <c r="I49" s="93"/>
    </row>
    <row r="50" spans="1:9" ht="17.25" customHeight="1" thickBot="1">
      <c r="A50" s="94" t="s">
        <v>88</v>
      </c>
      <c r="B50" s="95"/>
      <c r="C50" s="96"/>
      <c r="D50" s="97" t="s">
        <v>89</v>
      </c>
      <c r="E50" s="95"/>
      <c r="F50" s="96"/>
      <c r="G50" s="98"/>
      <c r="H50" s="98"/>
      <c r="I50" s="99"/>
    </row>
  </sheetData>
  <mergeCells count="27">
    <mergeCell ref="A49:C49"/>
    <mergeCell ref="D49:F49"/>
    <mergeCell ref="G49:I49"/>
    <mergeCell ref="A50:C50"/>
    <mergeCell ref="D50:F50"/>
    <mergeCell ref="G50:I50"/>
    <mergeCell ref="A42:A48"/>
    <mergeCell ref="B42:I48"/>
    <mergeCell ref="G14:G15"/>
    <mergeCell ref="G16:G17"/>
    <mergeCell ref="G18:G19"/>
    <mergeCell ref="G22:G23"/>
    <mergeCell ref="G24:G25"/>
    <mergeCell ref="G36:H36"/>
    <mergeCell ref="G37:H37"/>
    <mergeCell ref="G38:H38"/>
    <mergeCell ref="G39:H39"/>
    <mergeCell ref="G40:H40"/>
    <mergeCell ref="G41:H41"/>
    <mergeCell ref="G10:G11"/>
    <mergeCell ref="H10:H11"/>
    <mergeCell ref="I10:I11"/>
    <mergeCell ref="B6:D6"/>
    <mergeCell ref="G6:I6"/>
    <mergeCell ref="G8:G9"/>
    <mergeCell ref="H8:H9"/>
    <mergeCell ref="I8:I9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1F57-7772-4324-B71D-FA95BDD359F4}">
  <sheetPr codeName="工作表6"/>
  <dimension ref="A1:I50"/>
  <sheetViews>
    <sheetView workbookViewId="0">
      <selection activeCell="E6" sqref="E6:F38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100</v>
      </c>
      <c r="C4" s="8" t="s">
        <v>108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30" customHeight="1">
      <c r="A7" s="16" t="s">
        <v>9</v>
      </c>
      <c r="B7" s="24" t="s">
        <v>10</v>
      </c>
      <c r="C7" s="25" t="s">
        <v>11</v>
      </c>
      <c r="D7" s="25" t="s">
        <v>12</v>
      </c>
      <c r="E7" s="38"/>
      <c r="F7" s="47" t="s">
        <v>129</v>
      </c>
      <c r="G7" s="17"/>
      <c r="H7" s="14" t="s">
        <v>13</v>
      </c>
      <c r="I7" s="14" t="s">
        <v>14</v>
      </c>
    </row>
    <row r="8" spans="1:9" ht="21" customHeight="1">
      <c r="A8" s="18" t="s">
        <v>15</v>
      </c>
      <c r="B8" s="33">
        <v>7.82</v>
      </c>
      <c r="C8" s="33">
        <v>7.74</v>
      </c>
      <c r="D8" s="33">
        <v>7.72</v>
      </c>
      <c r="E8" s="39"/>
      <c r="F8" s="37" t="s">
        <v>16</v>
      </c>
      <c r="G8" s="75" t="s">
        <v>18</v>
      </c>
      <c r="H8" s="77"/>
      <c r="I8" s="77"/>
    </row>
    <row r="9" spans="1:9" ht="30" customHeight="1">
      <c r="A9" s="19" t="s">
        <v>19</v>
      </c>
      <c r="B9" s="28">
        <v>277</v>
      </c>
      <c r="C9" s="28">
        <v>2320</v>
      </c>
      <c r="D9" s="28">
        <v>2270</v>
      </c>
      <c r="E9" s="39"/>
      <c r="F9" s="37" t="s">
        <v>20</v>
      </c>
      <c r="G9" s="76"/>
      <c r="H9" s="67"/>
      <c r="I9" s="67"/>
    </row>
    <row r="10" spans="1:9" ht="30" customHeight="1">
      <c r="A10" s="19" t="s">
        <v>21</v>
      </c>
      <c r="B10" s="31">
        <v>205</v>
      </c>
      <c r="C10" s="28">
        <v>1740</v>
      </c>
      <c r="D10" s="28">
        <v>1705</v>
      </c>
      <c r="E10" s="39"/>
      <c r="F10" s="37"/>
      <c r="G10" s="78" t="s">
        <v>22</v>
      </c>
      <c r="H10" s="67"/>
      <c r="I10" s="67"/>
    </row>
    <row r="11" spans="1:9" ht="30" customHeight="1">
      <c r="A11" s="19" t="s">
        <v>23</v>
      </c>
      <c r="B11" s="28">
        <v>105</v>
      </c>
      <c r="C11" s="28">
        <v>60</v>
      </c>
      <c r="D11" s="28">
        <v>48</v>
      </c>
      <c r="E11" s="39"/>
      <c r="F11" s="37"/>
      <c r="G11" s="76"/>
      <c r="H11" s="67"/>
      <c r="I11" s="67"/>
    </row>
    <row r="12" spans="1:9" ht="30" customHeight="1">
      <c r="A12" s="19" t="s">
        <v>24</v>
      </c>
      <c r="B12" s="28">
        <v>133</v>
      </c>
      <c r="C12" s="28">
        <v>1132</v>
      </c>
      <c r="D12" s="28">
        <v>1198</v>
      </c>
      <c r="E12" s="39"/>
      <c r="F12" s="37"/>
      <c r="G12" s="22" t="s">
        <v>25</v>
      </c>
      <c r="H12" s="18"/>
      <c r="I12" s="18"/>
    </row>
    <row r="13" spans="1:9" ht="30" customHeight="1">
      <c r="A13" s="19" t="s">
        <v>26</v>
      </c>
      <c r="B13" s="28">
        <v>88</v>
      </c>
      <c r="C13" s="28">
        <v>758</v>
      </c>
      <c r="D13" s="28">
        <v>834</v>
      </c>
      <c r="E13" s="39"/>
      <c r="F13" s="37" t="s">
        <v>117</v>
      </c>
      <c r="G13" s="22" t="s">
        <v>29</v>
      </c>
      <c r="H13" s="18"/>
      <c r="I13" s="18"/>
    </row>
    <row r="14" spans="1:9" ht="30" customHeight="1">
      <c r="A14" s="19" t="s">
        <v>30</v>
      </c>
      <c r="B14" s="28">
        <f>B12-B13</f>
        <v>45</v>
      </c>
      <c r="C14" s="28">
        <f>C12-C13</f>
        <v>374</v>
      </c>
      <c r="D14" s="28">
        <f>D12-D13</f>
        <v>364</v>
      </c>
      <c r="E14" s="39"/>
      <c r="F14" s="37"/>
      <c r="G14" s="78" t="s">
        <v>31</v>
      </c>
      <c r="H14" s="18"/>
      <c r="I14" s="18"/>
    </row>
    <row r="15" spans="1:9" ht="30" customHeight="1">
      <c r="A15" s="19" t="s">
        <v>32</v>
      </c>
      <c r="B15" s="28">
        <v>12</v>
      </c>
      <c r="C15" s="28">
        <v>117</v>
      </c>
      <c r="D15" s="28">
        <v>108</v>
      </c>
      <c r="E15" s="39"/>
      <c r="F15" s="37" t="s">
        <v>118</v>
      </c>
      <c r="G15" s="76"/>
      <c r="H15" s="18"/>
      <c r="I15" s="18"/>
    </row>
    <row r="16" spans="1:9" ht="30" customHeight="1">
      <c r="A16" s="19" t="s">
        <v>35</v>
      </c>
      <c r="B16" s="28">
        <v>51.3</v>
      </c>
      <c r="C16" s="28">
        <v>1114</v>
      </c>
      <c r="D16" s="28">
        <v>1129</v>
      </c>
      <c r="E16" s="39"/>
      <c r="F16" s="37" t="s">
        <v>20</v>
      </c>
      <c r="G16" s="78" t="s">
        <v>36</v>
      </c>
      <c r="H16" s="18"/>
      <c r="I16" s="18"/>
    </row>
    <row r="17" spans="1:9" ht="30" customHeight="1">
      <c r="A17" s="19" t="s">
        <v>37</v>
      </c>
      <c r="B17" s="28">
        <v>10</v>
      </c>
      <c r="C17" s="28">
        <v>68</v>
      </c>
      <c r="D17" s="28">
        <v>74</v>
      </c>
      <c r="E17" s="39"/>
      <c r="F17" s="37" t="s">
        <v>119</v>
      </c>
      <c r="G17" s="76"/>
      <c r="H17" s="18"/>
      <c r="I17" s="18"/>
    </row>
    <row r="18" spans="1:9" ht="30" customHeight="1">
      <c r="A18" s="19" t="s">
        <v>40</v>
      </c>
      <c r="B18" s="28"/>
      <c r="C18" s="28">
        <v>4.3600000000000003</v>
      </c>
      <c r="D18" s="28">
        <v>4.16</v>
      </c>
      <c r="E18" s="39"/>
      <c r="F18" s="37"/>
      <c r="G18" s="78" t="s">
        <v>41</v>
      </c>
      <c r="H18" s="18"/>
      <c r="I18" s="18"/>
    </row>
    <row r="19" spans="1:9" ht="30" customHeight="1">
      <c r="A19" s="19" t="s">
        <v>42</v>
      </c>
      <c r="B19" s="28"/>
      <c r="C19" s="28">
        <v>3.58</v>
      </c>
      <c r="D19" s="33">
        <v>3.19</v>
      </c>
      <c r="E19" s="39"/>
      <c r="F19" s="37"/>
      <c r="G19" s="76"/>
      <c r="H19" s="18"/>
      <c r="I19" s="18"/>
    </row>
    <row r="20" spans="1:9" ht="30" customHeight="1">
      <c r="A20" s="19" t="s">
        <v>43</v>
      </c>
      <c r="B20" s="28"/>
      <c r="C20" s="28">
        <f>C18-C19</f>
        <v>0.78000000000000025</v>
      </c>
      <c r="D20" s="28">
        <f>D18-D19</f>
        <v>0.9700000000000002</v>
      </c>
      <c r="E20" s="39"/>
      <c r="F20" s="37"/>
      <c r="G20" s="21" t="s">
        <v>45</v>
      </c>
      <c r="H20" s="18"/>
      <c r="I20" s="18"/>
    </row>
    <row r="21" spans="1:9" ht="30" customHeight="1">
      <c r="A21" s="19" t="s">
        <v>46</v>
      </c>
      <c r="B21" s="28"/>
      <c r="C21" s="33">
        <v>3.21</v>
      </c>
      <c r="D21" s="28">
        <v>3.03</v>
      </c>
      <c r="E21" s="39"/>
      <c r="F21" s="37" t="s">
        <v>120</v>
      </c>
      <c r="G21" s="20" t="s">
        <v>48</v>
      </c>
      <c r="H21" s="18"/>
      <c r="I21" s="18"/>
    </row>
    <row r="22" spans="1:9" ht="20.100000000000001" customHeight="1">
      <c r="A22" s="18" t="s">
        <v>49</v>
      </c>
      <c r="B22" s="28">
        <v>0.04</v>
      </c>
      <c r="C22" s="28">
        <v>0.12</v>
      </c>
      <c r="D22" s="33">
        <v>0.11</v>
      </c>
      <c r="E22" s="40"/>
      <c r="F22" s="37" t="s">
        <v>50</v>
      </c>
      <c r="G22" s="78" t="s">
        <v>52</v>
      </c>
      <c r="H22" s="18"/>
      <c r="I22" s="18"/>
    </row>
    <row r="23" spans="1:9" ht="20.100000000000001" customHeight="1">
      <c r="A23" s="18" t="s">
        <v>53</v>
      </c>
      <c r="B23" s="28"/>
      <c r="C23" s="28">
        <v>1.01</v>
      </c>
      <c r="D23" s="28">
        <v>1.05</v>
      </c>
      <c r="E23" s="41"/>
      <c r="F23" s="37" t="s">
        <v>121</v>
      </c>
      <c r="G23" s="76"/>
      <c r="H23" s="18"/>
      <c r="I23" s="18"/>
    </row>
    <row r="24" spans="1:9" ht="20.100000000000001" customHeight="1">
      <c r="A24" s="18" t="s">
        <v>55</v>
      </c>
      <c r="B24" s="28"/>
      <c r="C24" s="28">
        <v>5</v>
      </c>
      <c r="D24" s="28">
        <v>10</v>
      </c>
      <c r="E24" s="40"/>
      <c r="F24" s="37"/>
      <c r="G24" s="78" t="s">
        <v>56</v>
      </c>
      <c r="H24" s="18"/>
      <c r="I24" s="18"/>
    </row>
    <row r="25" spans="1:9" ht="20.100000000000001" customHeight="1">
      <c r="A25" s="18"/>
      <c r="B25" s="28"/>
      <c r="C25" s="28"/>
      <c r="D25" s="28"/>
      <c r="E25" s="42"/>
      <c r="F25" s="37"/>
      <c r="G25" s="76"/>
      <c r="H25" s="18"/>
      <c r="I25" s="18"/>
    </row>
    <row r="26" spans="1:9" ht="20.100000000000001" customHeight="1">
      <c r="A26" s="18" t="s">
        <v>57</v>
      </c>
      <c r="B26" s="28"/>
      <c r="C26" s="28">
        <v>34.06</v>
      </c>
      <c r="D26" s="28">
        <v>41.11</v>
      </c>
      <c r="E26" s="41"/>
      <c r="F26" s="37" t="s">
        <v>122</v>
      </c>
      <c r="G26" s="13" t="s">
        <v>59</v>
      </c>
      <c r="H26" s="18"/>
      <c r="I26" s="18"/>
    </row>
    <row r="27" spans="1:9" ht="20.100000000000001" customHeight="1">
      <c r="A27" s="18" t="s">
        <v>60</v>
      </c>
      <c r="B27" s="28"/>
      <c r="C27" s="35">
        <v>1.24</v>
      </c>
      <c r="D27" s="35">
        <v>1.62</v>
      </c>
      <c r="E27" s="43"/>
      <c r="F27" s="37" t="s">
        <v>123</v>
      </c>
      <c r="G27" s="13" t="s">
        <v>61</v>
      </c>
      <c r="H27" s="18"/>
      <c r="I27" s="18"/>
    </row>
    <row r="28" spans="1:9" ht="20.100000000000001" customHeight="1">
      <c r="A28" s="18" t="s">
        <v>62</v>
      </c>
      <c r="B28" s="28">
        <v>0.5</v>
      </c>
      <c r="C28" s="28">
        <v>4.3</v>
      </c>
      <c r="D28" s="34">
        <v>2.2999999999999998</v>
      </c>
      <c r="E28" s="39"/>
      <c r="F28" s="37" t="s">
        <v>63</v>
      </c>
      <c r="G28" s="17"/>
      <c r="H28" s="18"/>
      <c r="I28" s="18"/>
    </row>
    <row r="29" spans="1:9" ht="20.100000000000001" customHeight="1">
      <c r="A29" s="23" t="s">
        <v>64</v>
      </c>
      <c r="B29" s="28">
        <v>0.08</v>
      </c>
      <c r="C29" s="28">
        <v>0.03</v>
      </c>
      <c r="D29" s="28">
        <v>0.03</v>
      </c>
      <c r="E29" s="39"/>
      <c r="F29" s="37" t="s">
        <v>65</v>
      </c>
      <c r="G29" s="17"/>
      <c r="H29" s="18"/>
      <c r="I29" s="18"/>
    </row>
    <row r="30" spans="1:9" ht="20.100000000000001" customHeight="1">
      <c r="A30" s="18" t="s">
        <v>66</v>
      </c>
      <c r="B30" s="28"/>
      <c r="C30" s="28" t="s">
        <v>107</v>
      </c>
      <c r="D30" s="28" t="s">
        <v>109</v>
      </c>
      <c r="E30" s="39"/>
      <c r="F30" s="37" t="s">
        <v>124</v>
      </c>
      <c r="G30" s="17"/>
      <c r="H30" s="18"/>
      <c r="I30" s="18"/>
    </row>
    <row r="31" spans="1:9" ht="20.100000000000001" customHeight="1">
      <c r="A31" s="18" t="s">
        <v>67</v>
      </c>
      <c r="B31" s="28">
        <v>0.47</v>
      </c>
      <c r="C31" s="28">
        <v>3.06</v>
      </c>
      <c r="D31" s="28">
        <v>1.55</v>
      </c>
      <c r="E31" s="39"/>
      <c r="F31" s="37" t="s">
        <v>125</v>
      </c>
      <c r="G31" s="17"/>
      <c r="H31" s="18"/>
      <c r="I31" s="18"/>
    </row>
    <row r="32" spans="1:9" ht="20.100000000000001" customHeight="1">
      <c r="A32" s="18" t="s">
        <v>68</v>
      </c>
      <c r="B32" s="28"/>
      <c r="C32" s="28" t="s">
        <v>69</v>
      </c>
      <c r="D32" s="28" t="s">
        <v>69</v>
      </c>
      <c r="E32" s="44"/>
      <c r="F32" s="37" t="s">
        <v>126</v>
      </c>
      <c r="G32" s="17"/>
      <c r="H32" s="18"/>
      <c r="I32" s="18"/>
    </row>
    <row r="33" spans="1:9" ht="20.100000000000001" customHeight="1">
      <c r="A33" s="18" t="s">
        <v>70</v>
      </c>
      <c r="B33" s="28">
        <v>7</v>
      </c>
      <c r="C33" s="28">
        <v>71</v>
      </c>
      <c r="D33" s="28">
        <v>90</v>
      </c>
      <c r="E33" s="45"/>
      <c r="F33" s="37"/>
      <c r="G33" s="17"/>
      <c r="H33" s="18"/>
      <c r="I33" s="18"/>
    </row>
    <row r="34" spans="1:9" ht="20.100000000000001" customHeight="1">
      <c r="A34" s="18" t="s">
        <v>71</v>
      </c>
      <c r="B34" s="28">
        <v>18</v>
      </c>
      <c r="C34" s="28">
        <v>14</v>
      </c>
      <c r="D34" s="28">
        <v>10</v>
      </c>
      <c r="E34" s="46"/>
      <c r="F34" s="37"/>
      <c r="G34" s="17"/>
      <c r="H34" s="18"/>
      <c r="I34" s="18"/>
    </row>
    <row r="35" spans="1:9" ht="20.100000000000001" customHeight="1">
      <c r="A35" s="18" t="s">
        <v>72</v>
      </c>
      <c r="B35" s="28">
        <v>0.11</v>
      </c>
      <c r="C35" s="28">
        <v>0.24</v>
      </c>
      <c r="D35" s="28">
        <v>0.41</v>
      </c>
      <c r="E35" s="46"/>
      <c r="F35" s="37"/>
      <c r="G35" s="17"/>
      <c r="H35" s="18"/>
      <c r="I35" s="18"/>
    </row>
    <row r="36" spans="1:9" ht="20.100000000000001" customHeight="1">
      <c r="A36" s="18" t="s">
        <v>73</v>
      </c>
      <c r="B36" s="28"/>
      <c r="C36" s="33">
        <f>C13/B13</f>
        <v>8.6136363636363633</v>
      </c>
      <c r="D36" s="33">
        <f>D13/B13</f>
        <v>9.4772727272727266</v>
      </c>
      <c r="E36" s="46"/>
      <c r="F36" s="37"/>
      <c r="G36" s="66" t="s">
        <v>74</v>
      </c>
      <c r="H36" s="67"/>
      <c r="I36" s="18"/>
    </row>
    <row r="37" spans="1:9" ht="20.100000000000001" customHeight="1">
      <c r="A37" s="18" t="s">
        <v>75</v>
      </c>
      <c r="B37" s="28"/>
      <c r="C37" s="28">
        <v>0.69</v>
      </c>
      <c r="D37" s="33">
        <v>0.61</v>
      </c>
      <c r="E37" s="46"/>
      <c r="F37" s="37" t="s">
        <v>127</v>
      </c>
      <c r="G37" s="66" t="s">
        <v>77</v>
      </c>
      <c r="H37" s="67"/>
      <c r="I37" s="18"/>
    </row>
    <row r="38" spans="1:9" ht="20.100000000000001" customHeight="1">
      <c r="A38" s="18" t="s">
        <v>78</v>
      </c>
      <c r="B38" s="28"/>
      <c r="C38" s="28">
        <v>6.36</v>
      </c>
      <c r="D38" s="28">
        <v>6.5</v>
      </c>
      <c r="E38" s="46"/>
      <c r="F38" s="37" t="s">
        <v>79</v>
      </c>
      <c r="G38" s="66" t="s">
        <v>80</v>
      </c>
      <c r="H38" s="67"/>
      <c r="I38" s="18"/>
    </row>
    <row r="39" spans="1:9" ht="20.100000000000001" customHeight="1">
      <c r="A39" s="18"/>
      <c r="B39" s="28"/>
      <c r="C39" s="28"/>
      <c r="D39" s="28"/>
      <c r="E39" s="29"/>
      <c r="F39" s="30"/>
      <c r="G39" s="66" t="s">
        <v>81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82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83</v>
      </c>
      <c r="H41" s="67"/>
      <c r="I41" s="18"/>
    </row>
    <row r="42" spans="1:9">
      <c r="A42" s="79" t="s">
        <v>84</v>
      </c>
      <c r="B42" s="100" t="s">
        <v>131</v>
      </c>
      <c r="C42" s="101"/>
      <c r="D42" s="101"/>
      <c r="E42" s="101"/>
      <c r="F42" s="101"/>
      <c r="G42" s="101"/>
      <c r="H42" s="101"/>
      <c r="I42" s="102"/>
    </row>
    <row r="43" spans="1:9">
      <c r="A43" s="80"/>
      <c r="B43" s="100"/>
      <c r="C43" s="101"/>
      <c r="D43" s="101"/>
      <c r="E43" s="101"/>
      <c r="F43" s="101"/>
      <c r="G43" s="101"/>
      <c r="H43" s="101"/>
      <c r="I43" s="102"/>
    </row>
    <row r="44" spans="1:9">
      <c r="A44" s="80"/>
      <c r="B44" s="100"/>
      <c r="C44" s="101"/>
      <c r="D44" s="101"/>
      <c r="E44" s="101"/>
      <c r="F44" s="101"/>
      <c r="G44" s="101"/>
      <c r="H44" s="101"/>
      <c r="I44" s="102"/>
    </row>
    <row r="45" spans="1:9">
      <c r="A45" s="80"/>
      <c r="B45" s="100"/>
      <c r="C45" s="101"/>
      <c r="D45" s="101"/>
      <c r="E45" s="101"/>
      <c r="F45" s="101"/>
      <c r="G45" s="101"/>
      <c r="H45" s="101"/>
      <c r="I45" s="102"/>
    </row>
    <row r="46" spans="1:9">
      <c r="A46" s="80"/>
      <c r="B46" s="100"/>
      <c r="C46" s="101"/>
      <c r="D46" s="101"/>
      <c r="E46" s="101"/>
      <c r="F46" s="101"/>
      <c r="G46" s="101"/>
      <c r="H46" s="101"/>
      <c r="I46" s="102"/>
    </row>
    <row r="47" spans="1:9">
      <c r="A47" s="80"/>
      <c r="B47" s="100"/>
      <c r="C47" s="101"/>
      <c r="D47" s="101"/>
      <c r="E47" s="101"/>
      <c r="F47" s="101"/>
      <c r="G47" s="101"/>
      <c r="H47" s="101"/>
      <c r="I47" s="102"/>
    </row>
    <row r="48" spans="1:9">
      <c r="A48" s="80"/>
      <c r="B48" s="103"/>
      <c r="C48" s="104"/>
      <c r="D48" s="104"/>
      <c r="E48" s="104"/>
      <c r="F48" s="104"/>
      <c r="G48" s="104"/>
      <c r="H48" s="104"/>
      <c r="I48" s="105"/>
    </row>
    <row r="49" spans="1:9">
      <c r="A49" s="88" t="s">
        <v>85</v>
      </c>
      <c r="B49" s="68"/>
      <c r="C49" s="66"/>
      <c r="D49" s="89" t="s">
        <v>86</v>
      </c>
      <c r="E49" s="90"/>
      <c r="F49" s="91"/>
      <c r="G49" s="92" t="s">
        <v>87</v>
      </c>
      <c r="H49" s="68"/>
      <c r="I49" s="93"/>
    </row>
    <row r="50" spans="1:9" ht="17.25" customHeight="1" thickBot="1">
      <c r="A50" s="94" t="s">
        <v>88</v>
      </c>
      <c r="B50" s="95"/>
      <c r="C50" s="96"/>
      <c r="D50" s="97" t="s">
        <v>89</v>
      </c>
      <c r="E50" s="95"/>
      <c r="F50" s="96"/>
      <c r="G50" s="98"/>
      <c r="H50" s="98"/>
      <c r="I50" s="99"/>
    </row>
  </sheetData>
  <mergeCells count="27">
    <mergeCell ref="A49:C49"/>
    <mergeCell ref="D49:F49"/>
    <mergeCell ref="G49:I49"/>
    <mergeCell ref="A50:C50"/>
    <mergeCell ref="D50:F50"/>
    <mergeCell ref="G50:I50"/>
    <mergeCell ref="A42:A48"/>
    <mergeCell ref="B42:I48"/>
    <mergeCell ref="G14:G15"/>
    <mergeCell ref="G16:G17"/>
    <mergeCell ref="G18:G19"/>
    <mergeCell ref="G22:G23"/>
    <mergeCell ref="G24:G25"/>
    <mergeCell ref="G36:H36"/>
    <mergeCell ref="G37:H37"/>
    <mergeCell ref="G38:H38"/>
    <mergeCell ref="G39:H39"/>
    <mergeCell ref="G40:H40"/>
    <mergeCell ref="G41:H41"/>
    <mergeCell ref="G10:G11"/>
    <mergeCell ref="H10:H11"/>
    <mergeCell ref="I10:I11"/>
    <mergeCell ref="B6:D6"/>
    <mergeCell ref="G6:I6"/>
    <mergeCell ref="G8:G9"/>
    <mergeCell ref="H8:H9"/>
    <mergeCell ref="I8:I9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F52C9-196D-4D73-AE2E-D1952B3C96DB}">
  <sheetPr codeName="工作表7"/>
  <dimension ref="A1:I50"/>
  <sheetViews>
    <sheetView topLeftCell="A24" workbookViewId="0">
      <selection activeCell="E6" sqref="E6:F38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110</v>
      </c>
      <c r="C4" s="8" t="s">
        <v>111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30" customHeight="1">
      <c r="A7" s="16" t="s">
        <v>9</v>
      </c>
      <c r="B7" s="24" t="s">
        <v>10</v>
      </c>
      <c r="C7" s="25" t="s">
        <v>11</v>
      </c>
      <c r="D7" s="25" t="s">
        <v>12</v>
      </c>
      <c r="E7" s="38"/>
      <c r="F7" s="47" t="s">
        <v>129</v>
      </c>
      <c r="G7" s="17"/>
      <c r="H7" s="14" t="s">
        <v>13</v>
      </c>
      <c r="I7" s="14" t="s">
        <v>14</v>
      </c>
    </row>
    <row r="8" spans="1:9" ht="21" customHeight="1">
      <c r="A8" s="18" t="s">
        <v>15</v>
      </c>
      <c r="B8" s="33">
        <v>7.79</v>
      </c>
      <c r="C8" s="33">
        <v>7.74</v>
      </c>
      <c r="D8" s="33">
        <v>7.72</v>
      </c>
      <c r="E8" s="39"/>
      <c r="F8" s="37" t="s">
        <v>16</v>
      </c>
      <c r="G8" s="75" t="s">
        <v>18</v>
      </c>
      <c r="H8" s="77"/>
      <c r="I8" s="77"/>
    </row>
    <row r="9" spans="1:9" ht="30" customHeight="1">
      <c r="A9" s="19" t="s">
        <v>19</v>
      </c>
      <c r="B9" s="28">
        <v>270</v>
      </c>
      <c r="C9" s="28">
        <v>2310</v>
      </c>
      <c r="D9" s="28">
        <v>2310</v>
      </c>
      <c r="E9" s="39"/>
      <c r="F9" s="37" t="s">
        <v>20</v>
      </c>
      <c r="G9" s="76"/>
      <c r="H9" s="67"/>
      <c r="I9" s="67"/>
    </row>
    <row r="10" spans="1:9" ht="30" customHeight="1">
      <c r="A10" s="19" t="s">
        <v>21</v>
      </c>
      <c r="B10" s="31">
        <v>200</v>
      </c>
      <c r="C10" s="28">
        <v>1735</v>
      </c>
      <c r="D10" s="28">
        <v>1735</v>
      </c>
      <c r="E10" s="39"/>
      <c r="F10" s="37"/>
      <c r="G10" s="78" t="s">
        <v>22</v>
      </c>
      <c r="H10" s="67"/>
      <c r="I10" s="67"/>
    </row>
    <row r="11" spans="1:9" ht="30" customHeight="1">
      <c r="A11" s="19" t="s">
        <v>23</v>
      </c>
      <c r="B11" s="28">
        <v>97</v>
      </c>
      <c r="C11" s="28">
        <v>60</v>
      </c>
      <c r="D11" s="28">
        <v>51</v>
      </c>
      <c r="E11" s="39"/>
      <c r="F11" s="37"/>
      <c r="G11" s="76"/>
      <c r="H11" s="67"/>
      <c r="I11" s="67"/>
    </row>
    <row r="12" spans="1:9" ht="30" customHeight="1">
      <c r="A12" s="19" t="s">
        <v>24</v>
      </c>
      <c r="B12" s="28">
        <v>133</v>
      </c>
      <c r="C12" s="28">
        <v>1110</v>
      </c>
      <c r="D12" s="28">
        <v>1164</v>
      </c>
      <c r="E12" s="39"/>
      <c r="F12" s="37"/>
      <c r="G12" s="22" t="s">
        <v>25</v>
      </c>
      <c r="H12" s="18"/>
      <c r="I12" s="18"/>
    </row>
    <row r="13" spans="1:9" ht="30" customHeight="1">
      <c r="A13" s="19" t="s">
        <v>26</v>
      </c>
      <c r="B13" s="28">
        <v>88</v>
      </c>
      <c r="C13" s="28">
        <v>736</v>
      </c>
      <c r="D13" s="28">
        <v>800</v>
      </c>
      <c r="E13" s="39"/>
      <c r="F13" s="37" t="s">
        <v>117</v>
      </c>
      <c r="G13" s="22" t="s">
        <v>29</v>
      </c>
      <c r="H13" s="18"/>
      <c r="I13" s="18"/>
    </row>
    <row r="14" spans="1:9" ht="30" customHeight="1">
      <c r="A14" s="19" t="s">
        <v>30</v>
      </c>
      <c r="B14" s="28">
        <f>B12-B13</f>
        <v>45</v>
      </c>
      <c r="C14" s="28">
        <f>C12-C13</f>
        <v>374</v>
      </c>
      <c r="D14" s="28">
        <f>D12-D13</f>
        <v>364</v>
      </c>
      <c r="E14" s="39"/>
      <c r="F14" s="37"/>
      <c r="G14" s="78" t="s">
        <v>31</v>
      </c>
      <c r="H14" s="18"/>
      <c r="I14" s="18"/>
    </row>
    <row r="15" spans="1:9" ht="30" customHeight="1">
      <c r="A15" s="19" t="s">
        <v>32</v>
      </c>
      <c r="B15" s="28">
        <v>13</v>
      </c>
      <c r="C15" s="28">
        <v>125</v>
      </c>
      <c r="D15" s="28">
        <v>114</v>
      </c>
      <c r="E15" s="39"/>
      <c r="F15" s="37" t="s">
        <v>118</v>
      </c>
      <c r="G15" s="76"/>
      <c r="H15" s="18"/>
      <c r="I15" s="18"/>
    </row>
    <row r="16" spans="1:9" ht="30" customHeight="1">
      <c r="A16" s="19" t="s">
        <v>35</v>
      </c>
      <c r="B16" s="28">
        <v>52.2</v>
      </c>
      <c r="C16" s="28">
        <v>1059</v>
      </c>
      <c r="D16" s="28">
        <v>1088</v>
      </c>
      <c r="E16" s="39"/>
      <c r="F16" s="37" t="s">
        <v>20</v>
      </c>
      <c r="G16" s="78" t="s">
        <v>36</v>
      </c>
      <c r="H16" s="18"/>
      <c r="I16" s="18"/>
    </row>
    <row r="17" spans="1:9" ht="30" customHeight="1">
      <c r="A17" s="19" t="s">
        <v>37</v>
      </c>
      <c r="B17" s="28">
        <v>9</v>
      </c>
      <c r="C17" s="28">
        <v>67</v>
      </c>
      <c r="D17" s="28">
        <v>75</v>
      </c>
      <c r="E17" s="39"/>
      <c r="F17" s="37" t="s">
        <v>119</v>
      </c>
      <c r="G17" s="76"/>
      <c r="H17" s="18"/>
      <c r="I17" s="18"/>
    </row>
    <row r="18" spans="1:9" ht="30" customHeight="1">
      <c r="A18" s="19" t="s">
        <v>40</v>
      </c>
      <c r="B18" s="28"/>
      <c r="C18" s="28">
        <v>4.18</v>
      </c>
      <c r="D18" s="28">
        <v>3.95</v>
      </c>
      <c r="E18" s="39"/>
      <c r="F18" s="37"/>
      <c r="G18" s="78" t="s">
        <v>41</v>
      </c>
      <c r="H18" s="18"/>
      <c r="I18" s="18"/>
    </row>
    <row r="19" spans="1:9" ht="30" customHeight="1">
      <c r="A19" s="19" t="s">
        <v>42</v>
      </c>
      <c r="B19" s="28"/>
      <c r="C19" s="28">
        <v>3.64</v>
      </c>
      <c r="D19" s="33">
        <v>3.1</v>
      </c>
      <c r="E19" s="39"/>
      <c r="F19" s="37"/>
      <c r="G19" s="76"/>
      <c r="H19" s="18"/>
      <c r="I19" s="18"/>
    </row>
    <row r="20" spans="1:9" ht="30" customHeight="1">
      <c r="A20" s="19" t="s">
        <v>43</v>
      </c>
      <c r="B20" s="28"/>
      <c r="C20" s="28">
        <f>C18-C19</f>
        <v>0.53999999999999959</v>
      </c>
      <c r="D20" s="28">
        <f>D18-D19</f>
        <v>0.85000000000000009</v>
      </c>
      <c r="E20" s="39"/>
      <c r="F20" s="37"/>
      <c r="G20" s="21" t="s">
        <v>45</v>
      </c>
      <c r="H20" s="18"/>
      <c r="I20" s="18"/>
    </row>
    <row r="21" spans="1:9" ht="30" customHeight="1">
      <c r="A21" s="19" t="s">
        <v>46</v>
      </c>
      <c r="B21" s="28"/>
      <c r="C21" s="33">
        <v>3.36</v>
      </c>
      <c r="D21" s="28">
        <v>3.05</v>
      </c>
      <c r="E21" s="39"/>
      <c r="F21" s="37" t="s">
        <v>120</v>
      </c>
      <c r="G21" s="20" t="s">
        <v>48</v>
      </c>
      <c r="H21" s="18"/>
      <c r="I21" s="18"/>
    </row>
    <row r="22" spans="1:9" ht="20.100000000000001" customHeight="1">
      <c r="A22" s="18" t="s">
        <v>49</v>
      </c>
      <c r="B22" s="28">
        <v>7.0000000000000007E-2</v>
      </c>
      <c r="C22" s="28">
        <v>0.18</v>
      </c>
      <c r="D22" s="33">
        <v>0.19</v>
      </c>
      <c r="E22" s="40"/>
      <c r="F22" s="37" t="s">
        <v>50</v>
      </c>
      <c r="G22" s="78" t="s">
        <v>52</v>
      </c>
      <c r="H22" s="18"/>
      <c r="I22" s="18"/>
    </row>
    <row r="23" spans="1:9" ht="20.100000000000001" customHeight="1">
      <c r="A23" s="18" t="s">
        <v>53</v>
      </c>
      <c r="B23" s="28"/>
      <c r="C23" s="33">
        <v>1</v>
      </c>
      <c r="D23" s="28">
        <v>1.18</v>
      </c>
      <c r="E23" s="41"/>
      <c r="F23" s="37" t="s">
        <v>121</v>
      </c>
      <c r="G23" s="76"/>
      <c r="H23" s="18"/>
      <c r="I23" s="18"/>
    </row>
    <row r="24" spans="1:9" ht="20.100000000000001" customHeight="1">
      <c r="A24" s="18" t="s">
        <v>55</v>
      </c>
      <c r="B24" s="28"/>
      <c r="C24" s="28">
        <v>10</v>
      </c>
      <c r="D24" s="28">
        <v>10</v>
      </c>
      <c r="E24" s="40"/>
      <c r="F24" s="37"/>
      <c r="G24" s="78" t="s">
        <v>56</v>
      </c>
      <c r="H24" s="18"/>
      <c r="I24" s="18"/>
    </row>
    <row r="25" spans="1:9" ht="20.100000000000001" customHeight="1">
      <c r="A25" s="18"/>
      <c r="B25" s="28"/>
      <c r="C25" s="28"/>
      <c r="D25" s="28"/>
      <c r="E25" s="42"/>
      <c r="F25" s="37"/>
      <c r="G25" s="76"/>
      <c r="H25" s="18"/>
      <c r="I25" s="18"/>
    </row>
    <row r="26" spans="1:9" ht="20.100000000000001" customHeight="1">
      <c r="A26" s="18" t="s">
        <v>57</v>
      </c>
      <c r="B26" s="28"/>
      <c r="C26" s="28">
        <v>32.75</v>
      </c>
      <c r="D26" s="28">
        <v>44.92</v>
      </c>
      <c r="E26" s="41"/>
      <c r="F26" s="37" t="s">
        <v>122</v>
      </c>
      <c r="G26" s="13" t="s">
        <v>59</v>
      </c>
      <c r="H26" s="18"/>
      <c r="I26" s="18"/>
    </row>
    <row r="27" spans="1:9" ht="20.100000000000001" customHeight="1">
      <c r="A27" s="18" t="s">
        <v>60</v>
      </c>
      <c r="B27" s="28"/>
      <c r="C27" s="35">
        <v>1.49</v>
      </c>
      <c r="D27" s="35">
        <v>1.26</v>
      </c>
      <c r="E27" s="43"/>
      <c r="F27" s="37" t="s">
        <v>123</v>
      </c>
      <c r="G27" s="13" t="s">
        <v>61</v>
      </c>
      <c r="H27" s="18"/>
      <c r="I27" s="18"/>
    </row>
    <row r="28" spans="1:9" ht="20.100000000000001" customHeight="1">
      <c r="A28" s="18" t="s">
        <v>62</v>
      </c>
      <c r="B28" s="28">
        <v>0.8</v>
      </c>
      <c r="C28" s="34">
        <v>4</v>
      </c>
      <c r="D28" s="34">
        <v>5.3</v>
      </c>
      <c r="E28" s="39"/>
      <c r="F28" s="37" t="s">
        <v>63</v>
      </c>
      <c r="G28" s="17"/>
      <c r="H28" s="18"/>
      <c r="I28" s="18"/>
    </row>
    <row r="29" spans="1:9" ht="20.100000000000001" customHeight="1">
      <c r="A29" s="23" t="s">
        <v>64</v>
      </c>
      <c r="B29" s="28">
        <v>0.18</v>
      </c>
      <c r="C29" s="28">
        <v>0.03</v>
      </c>
      <c r="D29" s="28">
        <v>0.03</v>
      </c>
      <c r="E29" s="39"/>
      <c r="F29" s="37" t="s">
        <v>65</v>
      </c>
      <c r="G29" s="17"/>
      <c r="H29" s="18"/>
      <c r="I29" s="18"/>
    </row>
    <row r="30" spans="1:9" ht="20.100000000000001" customHeight="1">
      <c r="A30" s="18" t="s">
        <v>66</v>
      </c>
      <c r="B30" s="28"/>
      <c r="C30" s="28" t="s">
        <v>107</v>
      </c>
      <c r="D30" s="28" t="s">
        <v>107</v>
      </c>
      <c r="E30" s="39"/>
      <c r="F30" s="37" t="s">
        <v>124</v>
      </c>
      <c r="G30" s="17"/>
      <c r="H30" s="18"/>
      <c r="I30" s="18"/>
    </row>
    <row r="31" spans="1:9" ht="20.100000000000001" customHeight="1">
      <c r="A31" s="18" t="s">
        <v>67</v>
      </c>
      <c r="B31" s="28">
        <v>0.74</v>
      </c>
      <c r="C31" s="28">
        <v>3.01</v>
      </c>
      <c r="D31" s="28">
        <v>2.82</v>
      </c>
      <c r="E31" s="39"/>
      <c r="F31" s="37" t="s">
        <v>125</v>
      </c>
      <c r="G31" s="17"/>
      <c r="H31" s="18"/>
      <c r="I31" s="18"/>
    </row>
    <row r="32" spans="1:9" ht="20.100000000000001" customHeight="1">
      <c r="A32" s="18" t="s">
        <v>68</v>
      </c>
      <c r="B32" s="28"/>
      <c r="C32" s="28" t="s">
        <v>69</v>
      </c>
      <c r="D32" s="28" t="s">
        <v>69</v>
      </c>
      <c r="E32" s="44"/>
      <c r="F32" s="37" t="s">
        <v>126</v>
      </c>
      <c r="G32" s="17"/>
      <c r="H32" s="18"/>
      <c r="I32" s="18"/>
    </row>
    <row r="33" spans="1:9" ht="20.100000000000001" customHeight="1">
      <c r="A33" s="18" t="s">
        <v>70</v>
      </c>
      <c r="B33" s="28">
        <v>10</v>
      </c>
      <c r="C33" s="28">
        <v>72</v>
      </c>
      <c r="D33" s="28">
        <v>86</v>
      </c>
      <c r="E33" s="45"/>
      <c r="F33" s="37"/>
      <c r="G33" s="17"/>
      <c r="H33" s="18"/>
      <c r="I33" s="18"/>
    </row>
    <row r="34" spans="1:9" ht="20.100000000000001" customHeight="1">
      <c r="A34" s="18" t="s">
        <v>71</v>
      </c>
      <c r="B34" s="28">
        <v>23</v>
      </c>
      <c r="C34" s="28">
        <v>12</v>
      </c>
      <c r="D34" s="28">
        <v>9</v>
      </c>
      <c r="E34" s="46"/>
      <c r="F34" s="37"/>
      <c r="G34" s="17"/>
      <c r="H34" s="18"/>
      <c r="I34" s="18"/>
    </row>
    <row r="35" spans="1:9" ht="20.100000000000001" customHeight="1">
      <c r="A35" s="18" t="s">
        <v>72</v>
      </c>
      <c r="B35" s="28">
        <v>0.06</v>
      </c>
      <c r="C35" s="28">
        <v>0.25</v>
      </c>
      <c r="D35" s="28">
        <v>0.17</v>
      </c>
      <c r="E35" s="46"/>
      <c r="F35" s="37"/>
      <c r="G35" s="17"/>
      <c r="H35" s="18"/>
      <c r="I35" s="18"/>
    </row>
    <row r="36" spans="1:9" ht="20.100000000000001" customHeight="1">
      <c r="A36" s="18" t="s">
        <v>73</v>
      </c>
      <c r="B36" s="28"/>
      <c r="C36" s="33">
        <f>C13/B13</f>
        <v>8.3636363636363633</v>
      </c>
      <c r="D36" s="33">
        <f>D13/B13</f>
        <v>9.0909090909090917</v>
      </c>
      <c r="E36" s="46"/>
      <c r="F36" s="37"/>
      <c r="G36" s="66" t="s">
        <v>74</v>
      </c>
      <c r="H36" s="67"/>
      <c r="I36" s="18"/>
    </row>
    <row r="37" spans="1:9" ht="20.100000000000001" customHeight="1">
      <c r="A37" s="18" t="s">
        <v>75</v>
      </c>
      <c r="B37" s="28"/>
      <c r="C37" s="28">
        <v>0.71</v>
      </c>
      <c r="D37" s="33">
        <v>0.66</v>
      </c>
      <c r="E37" s="46"/>
      <c r="F37" s="37" t="s">
        <v>127</v>
      </c>
      <c r="G37" s="66" t="s">
        <v>77</v>
      </c>
      <c r="H37" s="67"/>
      <c r="I37" s="18"/>
    </row>
    <row r="38" spans="1:9" ht="20.100000000000001" customHeight="1">
      <c r="A38" s="18" t="s">
        <v>78</v>
      </c>
      <c r="B38" s="28"/>
      <c r="C38" s="28">
        <v>6.32</v>
      </c>
      <c r="D38" s="28">
        <v>6.4</v>
      </c>
      <c r="E38" s="46"/>
      <c r="F38" s="37" t="s">
        <v>79</v>
      </c>
      <c r="G38" s="66" t="s">
        <v>80</v>
      </c>
      <c r="H38" s="67"/>
      <c r="I38" s="18"/>
    </row>
    <row r="39" spans="1:9" ht="20.100000000000001" customHeight="1">
      <c r="A39" s="18"/>
      <c r="B39" s="28"/>
      <c r="C39" s="28"/>
      <c r="D39" s="28"/>
      <c r="E39" s="29"/>
      <c r="F39" s="30"/>
      <c r="G39" s="66" t="s">
        <v>81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82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83</v>
      </c>
      <c r="H41" s="67"/>
      <c r="I41" s="18"/>
    </row>
    <row r="42" spans="1:9">
      <c r="A42" s="79" t="s">
        <v>84</v>
      </c>
      <c r="B42" s="100" t="s">
        <v>131</v>
      </c>
      <c r="C42" s="101"/>
      <c r="D42" s="101"/>
      <c r="E42" s="101"/>
      <c r="F42" s="101"/>
      <c r="G42" s="101"/>
      <c r="H42" s="101"/>
      <c r="I42" s="102"/>
    </row>
    <row r="43" spans="1:9">
      <c r="A43" s="80"/>
      <c r="B43" s="100"/>
      <c r="C43" s="101"/>
      <c r="D43" s="101"/>
      <c r="E43" s="101"/>
      <c r="F43" s="101"/>
      <c r="G43" s="101"/>
      <c r="H43" s="101"/>
      <c r="I43" s="102"/>
    </row>
    <row r="44" spans="1:9">
      <c r="A44" s="80"/>
      <c r="B44" s="100"/>
      <c r="C44" s="101"/>
      <c r="D44" s="101"/>
      <c r="E44" s="101"/>
      <c r="F44" s="101"/>
      <c r="G44" s="101"/>
      <c r="H44" s="101"/>
      <c r="I44" s="102"/>
    </row>
    <row r="45" spans="1:9">
      <c r="A45" s="80"/>
      <c r="B45" s="100"/>
      <c r="C45" s="101"/>
      <c r="D45" s="101"/>
      <c r="E45" s="101"/>
      <c r="F45" s="101"/>
      <c r="G45" s="101"/>
      <c r="H45" s="101"/>
      <c r="I45" s="102"/>
    </row>
    <row r="46" spans="1:9">
      <c r="A46" s="80"/>
      <c r="B46" s="100"/>
      <c r="C46" s="101"/>
      <c r="D46" s="101"/>
      <c r="E46" s="101"/>
      <c r="F46" s="101"/>
      <c r="G46" s="101"/>
      <c r="H46" s="101"/>
      <c r="I46" s="102"/>
    </row>
    <row r="47" spans="1:9">
      <c r="A47" s="80"/>
      <c r="B47" s="100"/>
      <c r="C47" s="101"/>
      <c r="D47" s="101"/>
      <c r="E47" s="101"/>
      <c r="F47" s="101"/>
      <c r="G47" s="101"/>
      <c r="H47" s="101"/>
      <c r="I47" s="102"/>
    </row>
    <row r="48" spans="1:9">
      <c r="A48" s="80"/>
      <c r="B48" s="103"/>
      <c r="C48" s="104"/>
      <c r="D48" s="104"/>
      <c r="E48" s="104"/>
      <c r="F48" s="104"/>
      <c r="G48" s="104"/>
      <c r="H48" s="104"/>
      <c r="I48" s="105"/>
    </row>
    <row r="49" spans="1:9">
      <c r="A49" s="88" t="s">
        <v>85</v>
      </c>
      <c r="B49" s="68"/>
      <c r="C49" s="66"/>
      <c r="D49" s="89" t="s">
        <v>86</v>
      </c>
      <c r="E49" s="90"/>
      <c r="F49" s="91"/>
      <c r="G49" s="92" t="s">
        <v>87</v>
      </c>
      <c r="H49" s="68"/>
      <c r="I49" s="93"/>
    </row>
    <row r="50" spans="1:9" ht="17.25" customHeight="1" thickBot="1">
      <c r="A50" s="94" t="s">
        <v>88</v>
      </c>
      <c r="B50" s="95"/>
      <c r="C50" s="96"/>
      <c r="D50" s="97" t="s">
        <v>89</v>
      </c>
      <c r="E50" s="95"/>
      <c r="F50" s="96"/>
      <c r="G50" s="98"/>
      <c r="H50" s="98"/>
      <c r="I50" s="99"/>
    </row>
  </sheetData>
  <mergeCells count="27">
    <mergeCell ref="A49:C49"/>
    <mergeCell ref="D49:F49"/>
    <mergeCell ref="G49:I49"/>
    <mergeCell ref="A50:C50"/>
    <mergeCell ref="D50:F50"/>
    <mergeCell ref="G50:I50"/>
    <mergeCell ref="A42:A48"/>
    <mergeCell ref="B42:I48"/>
    <mergeCell ref="G14:G15"/>
    <mergeCell ref="G16:G17"/>
    <mergeCell ref="G18:G19"/>
    <mergeCell ref="G22:G23"/>
    <mergeCell ref="G24:G25"/>
    <mergeCell ref="G36:H36"/>
    <mergeCell ref="G37:H37"/>
    <mergeCell ref="G38:H38"/>
    <mergeCell ref="G39:H39"/>
    <mergeCell ref="G40:H40"/>
    <mergeCell ref="G41:H41"/>
    <mergeCell ref="G10:G11"/>
    <mergeCell ref="H10:H11"/>
    <mergeCell ref="I10:I11"/>
    <mergeCell ref="B6:D6"/>
    <mergeCell ref="G6:I6"/>
    <mergeCell ref="G8:G9"/>
    <mergeCell ref="H8:H9"/>
    <mergeCell ref="I8:I9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E715-B3E8-416B-A179-1D32389C356A}">
  <sheetPr codeName="工作表8"/>
  <dimension ref="A1:I50"/>
  <sheetViews>
    <sheetView topLeftCell="A24" workbookViewId="0">
      <selection activeCell="B42" sqref="B42:I48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110</v>
      </c>
      <c r="C4" s="8" t="s">
        <v>112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30" customHeight="1">
      <c r="A7" s="16" t="s">
        <v>9</v>
      </c>
      <c r="B7" s="24" t="s">
        <v>10</v>
      </c>
      <c r="C7" s="25" t="s">
        <v>11</v>
      </c>
      <c r="D7" s="25" t="s">
        <v>12</v>
      </c>
      <c r="E7" s="38"/>
      <c r="F7" s="47" t="s">
        <v>129</v>
      </c>
      <c r="G7" s="17"/>
      <c r="H7" s="14" t="s">
        <v>13</v>
      </c>
      <c r="I7" s="14" t="s">
        <v>14</v>
      </c>
    </row>
    <row r="8" spans="1:9" ht="21" customHeight="1">
      <c r="A8" s="18" t="s">
        <v>15</v>
      </c>
      <c r="B8" s="33">
        <v>7.73</v>
      </c>
      <c r="C8" s="33">
        <v>7.88</v>
      </c>
      <c r="D8" s="33">
        <v>7.73</v>
      </c>
      <c r="E8" s="39"/>
      <c r="F8" s="37" t="s">
        <v>16</v>
      </c>
      <c r="G8" s="75" t="s">
        <v>18</v>
      </c>
      <c r="H8" s="77"/>
      <c r="I8" s="77"/>
    </row>
    <row r="9" spans="1:9" ht="30" customHeight="1">
      <c r="A9" s="19" t="s">
        <v>19</v>
      </c>
      <c r="B9" s="28">
        <v>265</v>
      </c>
      <c r="C9" s="28">
        <v>2300</v>
      </c>
      <c r="D9" s="28">
        <v>2220</v>
      </c>
      <c r="E9" s="39"/>
      <c r="F9" s="37" t="s">
        <v>20</v>
      </c>
      <c r="G9" s="76"/>
      <c r="H9" s="67"/>
      <c r="I9" s="67"/>
    </row>
    <row r="10" spans="1:9" ht="30" customHeight="1">
      <c r="A10" s="19" t="s">
        <v>21</v>
      </c>
      <c r="B10" s="31">
        <v>200</v>
      </c>
      <c r="C10" s="28">
        <v>1725</v>
      </c>
      <c r="D10" s="28">
        <v>1665</v>
      </c>
      <c r="E10" s="39"/>
      <c r="F10" s="37"/>
      <c r="G10" s="78" t="s">
        <v>22</v>
      </c>
      <c r="H10" s="67"/>
      <c r="I10" s="67"/>
    </row>
    <row r="11" spans="1:9" ht="30" customHeight="1">
      <c r="A11" s="19" t="s">
        <v>23</v>
      </c>
      <c r="B11" s="28">
        <v>102</v>
      </c>
      <c r="C11" s="28">
        <v>61</v>
      </c>
      <c r="D11" s="28">
        <v>54</v>
      </c>
      <c r="E11" s="39"/>
      <c r="F11" s="37"/>
      <c r="G11" s="76"/>
      <c r="H11" s="67"/>
      <c r="I11" s="67"/>
    </row>
    <row r="12" spans="1:9" ht="30" customHeight="1">
      <c r="A12" s="19" t="s">
        <v>24</v>
      </c>
      <c r="B12" s="28">
        <v>130</v>
      </c>
      <c r="C12" s="28">
        <v>1134</v>
      </c>
      <c r="D12" s="28">
        <v>1132</v>
      </c>
      <c r="E12" s="39"/>
      <c r="F12" s="37"/>
      <c r="G12" s="22" t="s">
        <v>25</v>
      </c>
      <c r="H12" s="18"/>
      <c r="I12" s="18"/>
    </row>
    <row r="13" spans="1:9" ht="30" customHeight="1">
      <c r="A13" s="19" t="s">
        <v>26</v>
      </c>
      <c r="B13" s="28">
        <v>87</v>
      </c>
      <c r="C13" s="28">
        <v>754</v>
      </c>
      <c r="D13" s="28">
        <v>798</v>
      </c>
      <c r="E13" s="39"/>
      <c r="F13" s="37" t="s">
        <v>117</v>
      </c>
      <c r="G13" s="22" t="s">
        <v>29</v>
      </c>
      <c r="H13" s="18"/>
      <c r="I13" s="18"/>
    </row>
    <row r="14" spans="1:9" ht="30" customHeight="1">
      <c r="A14" s="19" t="s">
        <v>30</v>
      </c>
      <c r="B14" s="28">
        <f>B12-B13</f>
        <v>43</v>
      </c>
      <c r="C14" s="28">
        <f>C12-C13</f>
        <v>380</v>
      </c>
      <c r="D14" s="28">
        <f>D12-D13</f>
        <v>334</v>
      </c>
      <c r="E14" s="39"/>
      <c r="F14" s="37"/>
      <c r="G14" s="78" t="s">
        <v>31</v>
      </c>
      <c r="H14" s="18"/>
      <c r="I14" s="18"/>
    </row>
    <row r="15" spans="1:9" ht="30" customHeight="1">
      <c r="A15" s="19" t="s">
        <v>32</v>
      </c>
      <c r="B15" s="28">
        <v>13</v>
      </c>
      <c r="C15" s="28">
        <v>134</v>
      </c>
      <c r="D15" s="28">
        <v>120</v>
      </c>
      <c r="E15" s="39"/>
      <c r="F15" s="37" t="s">
        <v>118</v>
      </c>
      <c r="G15" s="76"/>
      <c r="H15" s="18"/>
      <c r="I15" s="18"/>
    </row>
    <row r="16" spans="1:9" ht="30" customHeight="1">
      <c r="A16" s="19" t="s">
        <v>35</v>
      </c>
      <c r="B16" s="28">
        <v>51.4</v>
      </c>
      <c r="C16" s="28">
        <v>1107</v>
      </c>
      <c r="D16" s="28">
        <v>1133</v>
      </c>
      <c r="E16" s="39"/>
      <c r="F16" s="37" t="s">
        <v>20</v>
      </c>
      <c r="G16" s="78" t="s">
        <v>36</v>
      </c>
      <c r="H16" s="18"/>
      <c r="I16" s="18"/>
    </row>
    <row r="17" spans="1:9" ht="30" customHeight="1">
      <c r="A17" s="19" t="s">
        <v>37</v>
      </c>
      <c r="B17" s="28">
        <v>10</v>
      </c>
      <c r="C17" s="28">
        <v>72</v>
      </c>
      <c r="D17" s="28">
        <v>78</v>
      </c>
      <c r="E17" s="39"/>
      <c r="F17" s="37" t="s">
        <v>119</v>
      </c>
      <c r="G17" s="76"/>
      <c r="H17" s="18"/>
      <c r="I17" s="18"/>
    </row>
    <row r="18" spans="1:9" ht="30" customHeight="1">
      <c r="A18" s="19" t="s">
        <v>40</v>
      </c>
      <c r="B18" s="28"/>
      <c r="C18" s="28">
        <v>4.18</v>
      </c>
      <c r="D18" s="28">
        <v>5.16</v>
      </c>
      <c r="E18" s="39"/>
      <c r="F18" s="37"/>
      <c r="G18" s="78" t="s">
        <v>41</v>
      </c>
      <c r="H18" s="18"/>
      <c r="I18" s="18"/>
    </row>
    <row r="19" spans="1:9" ht="30" customHeight="1">
      <c r="A19" s="19" t="s">
        <v>42</v>
      </c>
      <c r="B19" s="28"/>
      <c r="C19" s="28">
        <v>3.38</v>
      </c>
      <c r="D19" s="33">
        <v>3.25</v>
      </c>
      <c r="E19" s="39"/>
      <c r="F19" s="37"/>
      <c r="G19" s="76"/>
      <c r="H19" s="18"/>
      <c r="I19" s="18"/>
    </row>
    <row r="20" spans="1:9" ht="30" customHeight="1">
      <c r="A20" s="19" t="s">
        <v>43</v>
      </c>
      <c r="B20" s="28"/>
      <c r="C20" s="33">
        <f>C18-C19</f>
        <v>0.79999999999999982</v>
      </c>
      <c r="D20" s="28">
        <f>D18-D19</f>
        <v>1.9100000000000001</v>
      </c>
      <c r="E20" s="39"/>
      <c r="F20" s="37"/>
      <c r="G20" s="21" t="s">
        <v>45</v>
      </c>
      <c r="H20" s="18"/>
      <c r="I20" s="18"/>
    </row>
    <row r="21" spans="1:9" ht="30" customHeight="1">
      <c r="A21" s="19" t="s">
        <v>46</v>
      </c>
      <c r="B21" s="28"/>
      <c r="C21" s="33">
        <v>3.23</v>
      </c>
      <c r="D21" s="28">
        <v>3.05</v>
      </c>
      <c r="E21" s="39"/>
      <c r="F21" s="37" t="s">
        <v>120</v>
      </c>
      <c r="G21" s="20" t="s">
        <v>48</v>
      </c>
      <c r="H21" s="18"/>
      <c r="I21" s="18"/>
    </row>
    <row r="22" spans="1:9" ht="20.100000000000001" customHeight="1">
      <c r="A22" s="18" t="s">
        <v>49</v>
      </c>
      <c r="B22" s="28">
        <v>0.06</v>
      </c>
      <c r="C22" s="28">
        <v>0.18</v>
      </c>
      <c r="D22" s="33">
        <v>0.19</v>
      </c>
      <c r="E22" s="40"/>
      <c r="F22" s="37" t="s">
        <v>50</v>
      </c>
      <c r="G22" s="78" t="s">
        <v>52</v>
      </c>
      <c r="H22" s="18"/>
      <c r="I22" s="18"/>
    </row>
    <row r="23" spans="1:9" ht="20.100000000000001" customHeight="1">
      <c r="A23" s="18" t="s">
        <v>53</v>
      </c>
      <c r="B23" s="28"/>
      <c r="C23" s="33">
        <v>1</v>
      </c>
      <c r="D23" s="28">
        <v>1.08</v>
      </c>
      <c r="E23" s="41"/>
      <c r="F23" s="37" t="s">
        <v>121</v>
      </c>
      <c r="G23" s="76"/>
      <c r="H23" s="18"/>
      <c r="I23" s="18"/>
    </row>
    <row r="24" spans="1:9" ht="20.100000000000001" customHeight="1">
      <c r="A24" s="18" t="s">
        <v>55</v>
      </c>
      <c r="B24" s="28"/>
      <c r="C24" s="28">
        <v>9</v>
      </c>
      <c r="D24" s="28">
        <v>10</v>
      </c>
      <c r="E24" s="40"/>
      <c r="F24" s="37"/>
      <c r="G24" s="78" t="s">
        <v>56</v>
      </c>
      <c r="H24" s="18"/>
      <c r="I24" s="18"/>
    </row>
    <row r="25" spans="1:9" ht="20.100000000000001" customHeight="1">
      <c r="A25" s="18"/>
      <c r="B25" s="28"/>
      <c r="C25" s="28"/>
      <c r="D25" s="28"/>
      <c r="E25" s="42"/>
      <c r="F25" s="37"/>
      <c r="G25" s="76"/>
      <c r="H25" s="18"/>
      <c r="I25" s="18"/>
    </row>
    <row r="26" spans="1:9" ht="20.100000000000001" customHeight="1">
      <c r="A26" s="18" t="s">
        <v>57</v>
      </c>
      <c r="B26" s="28"/>
      <c r="C26" s="28">
        <v>26.78</v>
      </c>
      <c r="D26" s="28">
        <v>48.52</v>
      </c>
      <c r="E26" s="41"/>
      <c r="F26" s="37" t="s">
        <v>122</v>
      </c>
      <c r="G26" s="13" t="s">
        <v>59</v>
      </c>
      <c r="H26" s="18"/>
      <c r="I26" s="18"/>
    </row>
    <row r="27" spans="1:9" ht="20.100000000000001" customHeight="1">
      <c r="A27" s="18" t="s">
        <v>60</v>
      </c>
      <c r="B27" s="28"/>
      <c r="C27" s="35">
        <v>1.33</v>
      </c>
      <c r="D27" s="35">
        <v>1.18</v>
      </c>
      <c r="E27" s="43"/>
      <c r="F27" s="37" t="s">
        <v>123</v>
      </c>
      <c r="G27" s="13" t="s">
        <v>61</v>
      </c>
      <c r="H27" s="18"/>
      <c r="I27" s="18"/>
    </row>
    <row r="28" spans="1:9" ht="20.100000000000001" customHeight="1">
      <c r="A28" s="18" t="s">
        <v>62</v>
      </c>
      <c r="B28" s="28">
        <v>0.5</v>
      </c>
      <c r="C28" s="34">
        <v>2</v>
      </c>
      <c r="D28" s="34">
        <v>7</v>
      </c>
      <c r="E28" s="39"/>
      <c r="F28" s="37" t="s">
        <v>63</v>
      </c>
      <c r="G28" s="17"/>
      <c r="H28" s="18"/>
      <c r="I28" s="18"/>
    </row>
    <row r="29" spans="1:9" ht="20.100000000000001" customHeight="1">
      <c r="A29" s="23" t="s">
        <v>64</v>
      </c>
      <c r="B29" s="28">
        <v>0.27</v>
      </c>
      <c r="C29" s="28">
        <v>0.06</v>
      </c>
      <c r="D29" s="28">
        <v>0.03</v>
      </c>
      <c r="E29" s="39"/>
      <c r="F29" s="37" t="s">
        <v>65</v>
      </c>
      <c r="G29" s="17"/>
      <c r="H29" s="18"/>
      <c r="I29" s="18"/>
    </row>
    <row r="30" spans="1:9" ht="20.100000000000001" customHeight="1">
      <c r="A30" s="18" t="s">
        <v>66</v>
      </c>
      <c r="B30" s="28"/>
      <c r="C30" s="28" t="s">
        <v>107</v>
      </c>
      <c r="D30" s="28" t="s">
        <v>113</v>
      </c>
      <c r="E30" s="39"/>
      <c r="F30" s="37" t="s">
        <v>124</v>
      </c>
      <c r="G30" s="17"/>
      <c r="H30" s="18"/>
      <c r="I30" s="18"/>
    </row>
    <row r="31" spans="1:9" ht="20.100000000000001" customHeight="1">
      <c r="A31" s="18" t="s">
        <v>67</v>
      </c>
      <c r="B31" s="28">
        <v>1.05</v>
      </c>
      <c r="C31" s="28">
        <v>2.48</v>
      </c>
      <c r="D31" s="28">
        <v>3.38</v>
      </c>
      <c r="E31" s="39"/>
      <c r="F31" s="37" t="s">
        <v>125</v>
      </c>
      <c r="G31" s="17"/>
      <c r="H31" s="18"/>
      <c r="I31" s="18"/>
    </row>
    <row r="32" spans="1:9" ht="20.100000000000001" customHeight="1">
      <c r="A32" s="18" t="s">
        <v>68</v>
      </c>
      <c r="B32" s="28"/>
      <c r="C32" s="28" t="s">
        <v>69</v>
      </c>
      <c r="D32" s="28" t="s">
        <v>69</v>
      </c>
      <c r="E32" s="44"/>
      <c r="F32" s="37" t="s">
        <v>126</v>
      </c>
      <c r="G32" s="17"/>
      <c r="H32" s="18"/>
      <c r="I32" s="18"/>
    </row>
    <row r="33" spans="1:9" ht="20.100000000000001" customHeight="1">
      <c r="A33" s="18" t="s">
        <v>70</v>
      </c>
      <c r="B33" s="28">
        <v>8</v>
      </c>
      <c r="C33" s="28">
        <v>72</v>
      </c>
      <c r="D33" s="28">
        <v>84</v>
      </c>
      <c r="E33" s="45"/>
      <c r="F33" s="37"/>
      <c r="G33" s="17"/>
      <c r="H33" s="18"/>
      <c r="I33" s="18"/>
    </row>
    <row r="34" spans="1:9" ht="20.100000000000001" customHeight="1">
      <c r="A34" s="18" t="s">
        <v>71</v>
      </c>
      <c r="B34" s="28">
        <v>14</v>
      </c>
      <c r="C34" s="28">
        <v>9</v>
      </c>
      <c r="D34" s="28">
        <v>11</v>
      </c>
      <c r="E34" s="46"/>
      <c r="F34" s="37"/>
      <c r="G34" s="17"/>
      <c r="H34" s="18"/>
      <c r="I34" s="18"/>
    </row>
    <row r="35" spans="1:9" ht="20.100000000000001" customHeight="1">
      <c r="A35" s="18" t="s">
        <v>72</v>
      </c>
      <c r="B35" s="28">
        <v>0.08</v>
      </c>
      <c r="C35" s="28">
        <v>0.26</v>
      </c>
      <c r="D35" s="28">
        <v>0.28999999999999998</v>
      </c>
      <c r="E35" s="46"/>
      <c r="F35" s="37"/>
      <c r="G35" s="17"/>
      <c r="H35" s="18"/>
      <c r="I35" s="18"/>
    </row>
    <row r="36" spans="1:9" ht="20.100000000000001" customHeight="1">
      <c r="A36" s="18" t="s">
        <v>73</v>
      </c>
      <c r="B36" s="28"/>
      <c r="C36" s="33">
        <f>C13/B13</f>
        <v>8.6666666666666661</v>
      </c>
      <c r="D36" s="33">
        <f>D13/B13</f>
        <v>9.1724137931034484</v>
      </c>
      <c r="E36" s="46"/>
      <c r="F36" s="37"/>
      <c r="G36" s="66" t="s">
        <v>74</v>
      </c>
      <c r="H36" s="67"/>
      <c r="I36" s="18"/>
    </row>
    <row r="37" spans="1:9" ht="20.100000000000001" customHeight="1">
      <c r="A37" s="18" t="s">
        <v>75</v>
      </c>
      <c r="B37" s="28"/>
      <c r="C37" s="28">
        <v>0.87</v>
      </c>
      <c r="D37" s="33">
        <v>0.71</v>
      </c>
      <c r="E37" s="46"/>
      <c r="F37" s="37" t="s">
        <v>127</v>
      </c>
      <c r="G37" s="66" t="s">
        <v>77</v>
      </c>
      <c r="H37" s="67"/>
      <c r="I37" s="18"/>
    </row>
    <row r="38" spans="1:9" ht="20.100000000000001" customHeight="1">
      <c r="A38" s="18" t="s">
        <v>78</v>
      </c>
      <c r="B38" s="28"/>
      <c r="C38" s="28">
        <v>6.15</v>
      </c>
      <c r="D38" s="28">
        <v>6.32</v>
      </c>
      <c r="E38" s="46"/>
      <c r="F38" s="37" t="s">
        <v>79</v>
      </c>
      <c r="G38" s="66" t="s">
        <v>80</v>
      </c>
      <c r="H38" s="67"/>
      <c r="I38" s="18"/>
    </row>
    <row r="39" spans="1:9" ht="20.100000000000001" customHeight="1">
      <c r="A39" s="18"/>
      <c r="B39" s="28"/>
      <c r="C39" s="28"/>
      <c r="D39" s="28"/>
      <c r="E39" s="29"/>
      <c r="F39" s="30"/>
      <c r="G39" s="66" t="s">
        <v>81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82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83</v>
      </c>
      <c r="H41" s="67"/>
      <c r="I41" s="18"/>
    </row>
    <row r="42" spans="1:9">
      <c r="A42" s="79" t="s">
        <v>84</v>
      </c>
      <c r="B42" s="100" t="s">
        <v>131</v>
      </c>
      <c r="C42" s="101"/>
      <c r="D42" s="101"/>
      <c r="E42" s="101"/>
      <c r="F42" s="101"/>
      <c r="G42" s="101"/>
      <c r="H42" s="101"/>
      <c r="I42" s="102"/>
    </row>
    <row r="43" spans="1:9">
      <c r="A43" s="80"/>
      <c r="B43" s="100"/>
      <c r="C43" s="101"/>
      <c r="D43" s="101"/>
      <c r="E43" s="101"/>
      <c r="F43" s="101"/>
      <c r="G43" s="101"/>
      <c r="H43" s="101"/>
      <c r="I43" s="102"/>
    </row>
    <row r="44" spans="1:9">
      <c r="A44" s="80"/>
      <c r="B44" s="100"/>
      <c r="C44" s="101"/>
      <c r="D44" s="101"/>
      <c r="E44" s="101"/>
      <c r="F44" s="101"/>
      <c r="G44" s="101"/>
      <c r="H44" s="101"/>
      <c r="I44" s="102"/>
    </row>
    <row r="45" spans="1:9">
      <c r="A45" s="80"/>
      <c r="B45" s="100"/>
      <c r="C45" s="101"/>
      <c r="D45" s="101"/>
      <c r="E45" s="101"/>
      <c r="F45" s="101"/>
      <c r="G45" s="101"/>
      <c r="H45" s="101"/>
      <c r="I45" s="102"/>
    </row>
    <row r="46" spans="1:9">
      <c r="A46" s="80"/>
      <c r="B46" s="100"/>
      <c r="C46" s="101"/>
      <c r="D46" s="101"/>
      <c r="E46" s="101"/>
      <c r="F46" s="101"/>
      <c r="G46" s="101"/>
      <c r="H46" s="101"/>
      <c r="I46" s="102"/>
    </row>
    <row r="47" spans="1:9">
      <c r="A47" s="80"/>
      <c r="B47" s="100"/>
      <c r="C47" s="101"/>
      <c r="D47" s="101"/>
      <c r="E47" s="101"/>
      <c r="F47" s="101"/>
      <c r="G47" s="101"/>
      <c r="H47" s="101"/>
      <c r="I47" s="102"/>
    </row>
    <row r="48" spans="1:9">
      <c r="A48" s="80"/>
      <c r="B48" s="103"/>
      <c r="C48" s="104"/>
      <c r="D48" s="104"/>
      <c r="E48" s="104"/>
      <c r="F48" s="104"/>
      <c r="G48" s="104"/>
      <c r="H48" s="104"/>
      <c r="I48" s="105"/>
    </row>
    <row r="49" spans="1:9">
      <c r="A49" s="88" t="s">
        <v>85</v>
      </c>
      <c r="B49" s="68"/>
      <c r="C49" s="66"/>
      <c r="D49" s="89" t="s">
        <v>86</v>
      </c>
      <c r="E49" s="90"/>
      <c r="F49" s="91"/>
      <c r="G49" s="92" t="s">
        <v>87</v>
      </c>
      <c r="H49" s="68"/>
      <c r="I49" s="93"/>
    </row>
    <row r="50" spans="1:9" ht="17.25" customHeight="1" thickBot="1">
      <c r="A50" s="94" t="s">
        <v>88</v>
      </c>
      <c r="B50" s="95"/>
      <c r="C50" s="96"/>
      <c r="D50" s="97" t="s">
        <v>89</v>
      </c>
      <c r="E50" s="95"/>
      <c r="F50" s="96"/>
      <c r="G50" s="98"/>
      <c r="H50" s="98"/>
      <c r="I50" s="99"/>
    </row>
  </sheetData>
  <mergeCells count="27">
    <mergeCell ref="A49:C49"/>
    <mergeCell ref="D49:F49"/>
    <mergeCell ref="G49:I49"/>
    <mergeCell ref="A50:C50"/>
    <mergeCell ref="D50:F50"/>
    <mergeCell ref="G50:I50"/>
    <mergeCell ref="A42:A48"/>
    <mergeCell ref="B42:I48"/>
    <mergeCell ref="G14:G15"/>
    <mergeCell ref="G16:G17"/>
    <mergeCell ref="G18:G19"/>
    <mergeCell ref="G22:G23"/>
    <mergeCell ref="G24:G25"/>
    <mergeCell ref="G36:H36"/>
    <mergeCell ref="G37:H37"/>
    <mergeCell ref="G38:H38"/>
    <mergeCell ref="G39:H39"/>
    <mergeCell ref="G40:H40"/>
    <mergeCell ref="G41:H41"/>
    <mergeCell ref="G10:G11"/>
    <mergeCell ref="H10:H11"/>
    <mergeCell ref="I10:I11"/>
    <mergeCell ref="B6:D6"/>
    <mergeCell ref="G6:I6"/>
    <mergeCell ref="G8:G9"/>
    <mergeCell ref="H8:H9"/>
    <mergeCell ref="I8:I9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2BC6-D5C7-4F7D-89B3-4992B6F97FA2}">
  <sheetPr codeName="工作表9"/>
  <dimension ref="A1:I50"/>
  <sheetViews>
    <sheetView topLeftCell="A19" workbookViewId="0">
      <selection activeCell="B42" sqref="B42:I48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110</v>
      </c>
      <c r="C4" s="8" t="s">
        <v>114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30" customHeight="1">
      <c r="A7" s="16" t="s">
        <v>9</v>
      </c>
      <c r="B7" s="24" t="s">
        <v>10</v>
      </c>
      <c r="C7" s="25" t="s">
        <v>11</v>
      </c>
      <c r="D7" s="25" t="s">
        <v>12</v>
      </c>
      <c r="E7" s="38"/>
      <c r="F7" s="47" t="s">
        <v>129</v>
      </c>
      <c r="G7" s="17"/>
      <c r="H7" s="14" t="s">
        <v>13</v>
      </c>
      <c r="I7" s="14" t="s">
        <v>14</v>
      </c>
    </row>
    <row r="8" spans="1:9" ht="21" customHeight="1">
      <c r="A8" s="18" t="s">
        <v>15</v>
      </c>
      <c r="B8" s="33">
        <v>7.97</v>
      </c>
      <c r="C8" s="33">
        <v>8</v>
      </c>
      <c r="D8" s="33">
        <v>7.73</v>
      </c>
      <c r="E8" s="39"/>
      <c r="F8" s="37" t="s">
        <v>16</v>
      </c>
      <c r="G8" s="75" t="s">
        <v>18</v>
      </c>
      <c r="H8" s="77"/>
      <c r="I8" s="77"/>
    </row>
    <row r="9" spans="1:9" ht="30" customHeight="1">
      <c r="A9" s="19" t="s">
        <v>19</v>
      </c>
      <c r="B9" s="28">
        <v>265</v>
      </c>
      <c r="C9" s="28">
        <v>2320</v>
      </c>
      <c r="D9" s="28">
        <v>2240</v>
      </c>
      <c r="E9" s="39"/>
      <c r="F9" s="37" t="s">
        <v>20</v>
      </c>
      <c r="G9" s="76"/>
      <c r="H9" s="67"/>
      <c r="I9" s="67"/>
    </row>
    <row r="10" spans="1:9" ht="30" customHeight="1">
      <c r="A10" s="19" t="s">
        <v>21</v>
      </c>
      <c r="B10" s="31">
        <v>200</v>
      </c>
      <c r="C10" s="28">
        <v>1740</v>
      </c>
      <c r="D10" s="28">
        <v>1680</v>
      </c>
      <c r="E10" s="39"/>
      <c r="F10" s="37"/>
      <c r="G10" s="78" t="s">
        <v>22</v>
      </c>
      <c r="H10" s="67"/>
      <c r="I10" s="67"/>
    </row>
    <row r="11" spans="1:9" ht="30" customHeight="1">
      <c r="A11" s="19" t="s">
        <v>23</v>
      </c>
      <c r="B11" s="28">
        <v>101</v>
      </c>
      <c r="C11" s="28">
        <v>64</v>
      </c>
      <c r="D11" s="28">
        <v>55</v>
      </c>
      <c r="E11" s="39"/>
      <c r="F11" s="37"/>
      <c r="G11" s="76"/>
      <c r="H11" s="67"/>
      <c r="I11" s="67"/>
    </row>
    <row r="12" spans="1:9" ht="30" customHeight="1">
      <c r="A12" s="19" t="s">
        <v>24</v>
      </c>
      <c r="B12" s="28">
        <v>132</v>
      </c>
      <c r="C12" s="28">
        <v>1122</v>
      </c>
      <c r="D12" s="28">
        <v>1154</v>
      </c>
      <c r="E12" s="39"/>
      <c r="F12" s="37"/>
      <c r="G12" s="22" t="s">
        <v>25</v>
      </c>
      <c r="H12" s="18"/>
      <c r="I12" s="18"/>
    </row>
    <row r="13" spans="1:9" ht="30" customHeight="1">
      <c r="A13" s="19" t="s">
        <v>26</v>
      </c>
      <c r="B13" s="28">
        <v>84</v>
      </c>
      <c r="C13" s="28">
        <v>768</v>
      </c>
      <c r="D13" s="28">
        <v>812</v>
      </c>
      <c r="E13" s="39"/>
      <c r="F13" s="37" t="s">
        <v>117</v>
      </c>
      <c r="G13" s="22" t="s">
        <v>29</v>
      </c>
      <c r="H13" s="18"/>
      <c r="I13" s="18"/>
    </row>
    <row r="14" spans="1:9" ht="30" customHeight="1">
      <c r="A14" s="19" t="s">
        <v>30</v>
      </c>
      <c r="B14" s="28">
        <f>B12-B13</f>
        <v>48</v>
      </c>
      <c r="C14" s="28">
        <f>C12-C13</f>
        <v>354</v>
      </c>
      <c r="D14" s="28">
        <f>D12-D13</f>
        <v>342</v>
      </c>
      <c r="E14" s="39"/>
      <c r="F14" s="37"/>
      <c r="G14" s="78" t="s">
        <v>31</v>
      </c>
      <c r="H14" s="18"/>
      <c r="I14" s="18"/>
    </row>
    <row r="15" spans="1:9" ht="30" customHeight="1">
      <c r="A15" s="19" t="s">
        <v>32</v>
      </c>
      <c r="B15" s="28">
        <v>12</v>
      </c>
      <c r="C15" s="28">
        <v>125</v>
      </c>
      <c r="D15" s="28">
        <v>109</v>
      </c>
      <c r="E15" s="39"/>
      <c r="F15" s="37" t="s">
        <v>118</v>
      </c>
      <c r="G15" s="76"/>
      <c r="H15" s="18"/>
      <c r="I15" s="18"/>
    </row>
    <row r="16" spans="1:9" ht="30" customHeight="1">
      <c r="A16" s="19" t="s">
        <v>35</v>
      </c>
      <c r="B16" s="28">
        <v>49.3</v>
      </c>
      <c r="C16" s="28">
        <v>1058</v>
      </c>
      <c r="D16" s="28">
        <v>1167</v>
      </c>
      <c r="E16" s="39"/>
      <c r="F16" s="37" t="s">
        <v>20</v>
      </c>
      <c r="G16" s="78" t="s">
        <v>36</v>
      </c>
      <c r="H16" s="18"/>
      <c r="I16" s="18"/>
    </row>
    <row r="17" spans="1:9" ht="30" customHeight="1">
      <c r="A17" s="19" t="s">
        <v>37</v>
      </c>
      <c r="B17" s="28">
        <v>9</v>
      </c>
      <c r="C17" s="28">
        <v>71</v>
      </c>
      <c r="D17" s="28">
        <v>78</v>
      </c>
      <c r="E17" s="39"/>
      <c r="F17" s="37" t="s">
        <v>119</v>
      </c>
      <c r="G17" s="76"/>
      <c r="H17" s="18"/>
      <c r="I17" s="18"/>
    </row>
    <row r="18" spans="1:9" ht="30" customHeight="1">
      <c r="A18" s="19" t="s">
        <v>40</v>
      </c>
      <c r="B18" s="28"/>
      <c r="C18" s="28">
        <v>4.41</v>
      </c>
      <c r="D18" s="28">
        <v>5.58</v>
      </c>
      <c r="E18" s="39"/>
      <c r="F18" s="37"/>
      <c r="G18" s="78" t="s">
        <v>41</v>
      </c>
      <c r="H18" s="18"/>
      <c r="I18" s="18"/>
    </row>
    <row r="19" spans="1:9" ht="30" customHeight="1">
      <c r="A19" s="19" t="s">
        <v>42</v>
      </c>
      <c r="B19" s="28"/>
      <c r="C19" s="28">
        <v>3.55</v>
      </c>
      <c r="D19" s="33">
        <v>3.27</v>
      </c>
      <c r="E19" s="39"/>
      <c r="F19" s="37"/>
      <c r="G19" s="76"/>
      <c r="H19" s="18"/>
      <c r="I19" s="18"/>
    </row>
    <row r="20" spans="1:9" ht="30" customHeight="1">
      <c r="A20" s="19" t="s">
        <v>43</v>
      </c>
      <c r="B20" s="28"/>
      <c r="C20" s="33">
        <f>C18-C19</f>
        <v>0.86000000000000032</v>
      </c>
      <c r="D20" s="28">
        <f>D18-D19</f>
        <v>2.31</v>
      </c>
      <c r="E20" s="39"/>
      <c r="F20" s="37"/>
      <c r="G20" s="21" t="s">
        <v>45</v>
      </c>
      <c r="H20" s="18"/>
      <c r="I20" s="18"/>
    </row>
    <row r="21" spans="1:9" ht="30" customHeight="1">
      <c r="A21" s="19" t="s">
        <v>46</v>
      </c>
      <c r="B21" s="28"/>
      <c r="C21" s="33">
        <v>3.25</v>
      </c>
      <c r="D21" s="28">
        <v>3.04</v>
      </c>
      <c r="E21" s="39"/>
      <c r="F21" s="37" t="s">
        <v>120</v>
      </c>
      <c r="G21" s="20" t="s">
        <v>48</v>
      </c>
      <c r="H21" s="18"/>
      <c r="I21" s="18"/>
    </row>
    <row r="22" spans="1:9" ht="20.100000000000001" customHeight="1">
      <c r="A22" s="18" t="s">
        <v>49</v>
      </c>
      <c r="B22" s="28">
        <v>0.05</v>
      </c>
      <c r="C22" s="28">
        <v>0.21</v>
      </c>
      <c r="D22" s="33">
        <v>0.17</v>
      </c>
      <c r="E22" s="40"/>
      <c r="F22" s="37" t="s">
        <v>50</v>
      </c>
      <c r="G22" s="78" t="s">
        <v>52</v>
      </c>
      <c r="H22" s="18"/>
      <c r="I22" s="18"/>
    </row>
    <row r="23" spans="1:9" ht="20.100000000000001" customHeight="1">
      <c r="A23" s="18" t="s">
        <v>53</v>
      </c>
      <c r="B23" s="28"/>
      <c r="C23" s="28">
        <v>1.02</v>
      </c>
      <c r="D23" s="28">
        <v>1.1200000000000001</v>
      </c>
      <c r="E23" s="41"/>
      <c r="F23" s="37" t="s">
        <v>121</v>
      </c>
      <c r="G23" s="76"/>
      <c r="H23" s="18"/>
      <c r="I23" s="18"/>
    </row>
    <row r="24" spans="1:9" ht="20.100000000000001" customHeight="1">
      <c r="A24" s="18" t="s">
        <v>55</v>
      </c>
      <c r="B24" s="28"/>
      <c r="C24" s="28">
        <v>5</v>
      </c>
      <c r="D24" s="28">
        <v>8</v>
      </c>
      <c r="E24" s="40"/>
      <c r="F24" s="37"/>
      <c r="G24" s="78" t="s">
        <v>56</v>
      </c>
      <c r="H24" s="18"/>
      <c r="I24" s="18"/>
    </row>
    <row r="25" spans="1:9" ht="20.100000000000001" customHeight="1">
      <c r="A25" s="18"/>
      <c r="B25" s="28"/>
      <c r="C25" s="28"/>
      <c r="D25" s="28"/>
      <c r="E25" s="42"/>
      <c r="F25" s="37"/>
      <c r="G25" s="76"/>
      <c r="H25" s="18"/>
      <c r="I25" s="18"/>
    </row>
    <row r="26" spans="1:9" ht="20.100000000000001" customHeight="1">
      <c r="A26" s="18" t="s">
        <v>57</v>
      </c>
      <c r="B26" s="28"/>
      <c r="C26" s="28">
        <v>30.92</v>
      </c>
      <c r="D26" s="28">
        <v>51.31</v>
      </c>
      <c r="E26" s="41"/>
      <c r="F26" s="37" t="s">
        <v>122</v>
      </c>
      <c r="G26" s="13" t="s">
        <v>59</v>
      </c>
      <c r="H26" s="18"/>
      <c r="I26" s="18"/>
    </row>
    <row r="27" spans="1:9" ht="20.100000000000001" customHeight="1">
      <c r="A27" s="18" t="s">
        <v>60</v>
      </c>
      <c r="B27" s="28"/>
      <c r="C27" s="35">
        <v>1.57</v>
      </c>
      <c r="D27" s="35">
        <v>1.28</v>
      </c>
      <c r="E27" s="43"/>
      <c r="F27" s="37" t="s">
        <v>123</v>
      </c>
      <c r="G27" s="13" t="s">
        <v>61</v>
      </c>
      <c r="H27" s="18"/>
      <c r="I27" s="18"/>
    </row>
    <row r="28" spans="1:9" ht="20.100000000000001" customHeight="1">
      <c r="A28" s="18" t="s">
        <v>62</v>
      </c>
      <c r="B28" s="28">
        <v>0.3</v>
      </c>
      <c r="C28" s="34">
        <v>8.6999999999999993</v>
      </c>
      <c r="D28" s="34">
        <v>5.3</v>
      </c>
      <c r="E28" s="39"/>
      <c r="F28" s="37" t="s">
        <v>63</v>
      </c>
      <c r="G28" s="17"/>
      <c r="H28" s="18"/>
      <c r="I28" s="18"/>
    </row>
    <row r="29" spans="1:9" ht="20.100000000000001" customHeight="1">
      <c r="A29" s="23" t="s">
        <v>64</v>
      </c>
      <c r="B29" s="28">
        <v>0.05</v>
      </c>
      <c r="C29" s="28">
        <v>0.02</v>
      </c>
      <c r="D29" s="28">
        <v>0.02</v>
      </c>
      <c r="E29" s="39"/>
      <c r="F29" s="37" t="s">
        <v>65</v>
      </c>
      <c r="G29" s="17"/>
      <c r="H29" s="18"/>
      <c r="I29" s="18"/>
    </row>
    <row r="30" spans="1:9" ht="20.100000000000001" customHeight="1">
      <c r="A30" s="18" t="s">
        <v>66</v>
      </c>
      <c r="B30" s="28"/>
      <c r="C30" s="28" t="s">
        <v>106</v>
      </c>
      <c r="D30" s="28" t="s">
        <v>107</v>
      </c>
      <c r="E30" s="39"/>
      <c r="F30" s="37" t="s">
        <v>124</v>
      </c>
      <c r="G30" s="17"/>
      <c r="H30" s="18"/>
      <c r="I30" s="18"/>
    </row>
    <row r="31" spans="1:9" ht="20.100000000000001" customHeight="1">
      <c r="A31" s="18" t="s">
        <v>67</v>
      </c>
      <c r="B31" s="28">
        <v>0.4</v>
      </c>
      <c r="C31" s="28">
        <v>2.98</v>
      </c>
      <c r="D31" s="28">
        <v>1.57</v>
      </c>
      <c r="E31" s="39"/>
      <c r="F31" s="37" t="s">
        <v>125</v>
      </c>
      <c r="G31" s="17"/>
      <c r="H31" s="18"/>
      <c r="I31" s="18"/>
    </row>
    <row r="32" spans="1:9" ht="20.100000000000001" customHeight="1">
      <c r="A32" s="18" t="s">
        <v>68</v>
      </c>
      <c r="B32" s="28"/>
      <c r="C32" s="28" t="s">
        <v>69</v>
      </c>
      <c r="D32" s="28" t="s">
        <v>69</v>
      </c>
      <c r="E32" s="44"/>
      <c r="F32" s="37" t="s">
        <v>126</v>
      </c>
      <c r="G32" s="17"/>
      <c r="H32" s="18"/>
      <c r="I32" s="18"/>
    </row>
    <row r="33" spans="1:9" ht="20.100000000000001" customHeight="1">
      <c r="A33" s="18" t="s">
        <v>70</v>
      </c>
      <c r="B33" s="28">
        <v>9</v>
      </c>
      <c r="C33" s="28">
        <v>71</v>
      </c>
      <c r="D33" s="28">
        <v>90</v>
      </c>
      <c r="E33" s="45"/>
      <c r="F33" s="37"/>
      <c r="G33" s="17"/>
      <c r="H33" s="18"/>
      <c r="I33" s="18"/>
    </row>
    <row r="34" spans="1:9" ht="20.100000000000001" customHeight="1">
      <c r="A34" s="18" t="s">
        <v>71</v>
      </c>
      <c r="B34" s="28">
        <v>23</v>
      </c>
      <c r="C34" s="28">
        <v>14</v>
      </c>
      <c r="D34" s="28">
        <v>9</v>
      </c>
      <c r="E34" s="46"/>
      <c r="F34" s="37"/>
      <c r="G34" s="17"/>
      <c r="H34" s="18"/>
      <c r="I34" s="18"/>
    </row>
    <row r="35" spans="1:9" ht="20.100000000000001" customHeight="1">
      <c r="A35" s="18" t="s">
        <v>72</v>
      </c>
      <c r="B35" s="28">
        <v>0.24</v>
      </c>
      <c r="C35" s="28">
        <v>0.32</v>
      </c>
      <c r="D35" s="28">
        <v>0.28999999999999998</v>
      </c>
      <c r="E35" s="46"/>
      <c r="F35" s="37"/>
      <c r="G35" s="17"/>
      <c r="H35" s="18"/>
      <c r="I35" s="18"/>
    </row>
    <row r="36" spans="1:9" ht="20.100000000000001" customHeight="1">
      <c r="A36" s="18" t="s">
        <v>73</v>
      </c>
      <c r="B36" s="28"/>
      <c r="C36" s="33">
        <f>C13/B13</f>
        <v>9.1428571428571423</v>
      </c>
      <c r="D36" s="33">
        <f>D13/B13</f>
        <v>9.6666666666666661</v>
      </c>
      <c r="E36" s="46"/>
      <c r="F36" s="37"/>
      <c r="G36" s="66" t="s">
        <v>74</v>
      </c>
      <c r="H36" s="67"/>
      <c r="I36" s="18"/>
    </row>
    <row r="37" spans="1:9" ht="20.100000000000001" customHeight="1">
      <c r="A37" s="18" t="s">
        <v>75</v>
      </c>
      <c r="B37" s="28"/>
      <c r="C37" s="33">
        <v>1</v>
      </c>
      <c r="D37" s="33">
        <v>0.71</v>
      </c>
      <c r="E37" s="46"/>
      <c r="F37" s="37" t="s">
        <v>127</v>
      </c>
      <c r="G37" s="66" t="s">
        <v>77</v>
      </c>
      <c r="H37" s="67"/>
      <c r="I37" s="18"/>
    </row>
    <row r="38" spans="1:9" ht="20.100000000000001" customHeight="1">
      <c r="A38" s="18" t="s">
        <v>78</v>
      </c>
      <c r="B38" s="28"/>
      <c r="C38" s="28">
        <v>5.99</v>
      </c>
      <c r="D38" s="33">
        <v>6.3</v>
      </c>
      <c r="E38" s="46"/>
      <c r="F38" s="37" t="s">
        <v>79</v>
      </c>
      <c r="G38" s="66" t="s">
        <v>80</v>
      </c>
      <c r="H38" s="67"/>
      <c r="I38" s="18"/>
    </row>
    <row r="39" spans="1:9" ht="20.100000000000001" customHeight="1">
      <c r="A39" s="18"/>
      <c r="B39" s="28"/>
      <c r="C39" s="28"/>
      <c r="D39" s="28"/>
      <c r="E39" s="29"/>
      <c r="F39" s="30"/>
      <c r="G39" s="66" t="s">
        <v>81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82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83</v>
      </c>
      <c r="H41" s="67"/>
      <c r="I41" s="18"/>
    </row>
    <row r="42" spans="1:9">
      <c r="A42" s="79" t="s">
        <v>84</v>
      </c>
      <c r="B42" s="84" t="s">
        <v>132</v>
      </c>
      <c r="C42" s="82"/>
      <c r="D42" s="82"/>
      <c r="E42" s="82"/>
      <c r="F42" s="82"/>
      <c r="G42" s="82"/>
      <c r="H42" s="82"/>
      <c r="I42" s="83"/>
    </row>
    <row r="43" spans="1:9">
      <c r="A43" s="80"/>
      <c r="B43" s="84"/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5"/>
      <c r="C48" s="86"/>
      <c r="D48" s="86"/>
      <c r="E48" s="86"/>
      <c r="F48" s="86"/>
      <c r="G48" s="86"/>
      <c r="H48" s="86"/>
      <c r="I48" s="87"/>
    </row>
    <row r="49" spans="1:9">
      <c r="A49" s="88" t="s">
        <v>85</v>
      </c>
      <c r="B49" s="68"/>
      <c r="C49" s="66"/>
      <c r="D49" s="89" t="s">
        <v>86</v>
      </c>
      <c r="E49" s="90"/>
      <c r="F49" s="91"/>
      <c r="G49" s="92" t="s">
        <v>87</v>
      </c>
      <c r="H49" s="68"/>
      <c r="I49" s="93"/>
    </row>
    <row r="50" spans="1:9" ht="17.25" customHeight="1" thickBot="1">
      <c r="A50" s="94" t="s">
        <v>88</v>
      </c>
      <c r="B50" s="95"/>
      <c r="C50" s="96"/>
      <c r="D50" s="97" t="s">
        <v>89</v>
      </c>
      <c r="E50" s="95"/>
      <c r="F50" s="96"/>
      <c r="G50" s="98"/>
      <c r="H50" s="98"/>
      <c r="I50" s="99"/>
    </row>
  </sheetData>
  <mergeCells count="27">
    <mergeCell ref="A49:C49"/>
    <mergeCell ref="D49:F49"/>
    <mergeCell ref="G49:I49"/>
    <mergeCell ref="A50:C50"/>
    <mergeCell ref="D50:F50"/>
    <mergeCell ref="G50:I50"/>
    <mergeCell ref="A42:A48"/>
    <mergeCell ref="B42:I48"/>
    <mergeCell ref="G14:G15"/>
    <mergeCell ref="G16:G17"/>
    <mergeCell ref="G18:G19"/>
    <mergeCell ref="G22:G23"/>
    <mergeCell ref="G24:G25"/>
    <mergeCell ref="G36:H36"/>
    <mergeCell ref="G37:H37"/>
    <mergeCell ref="G38:H38"/>
    <mergeCell ref="G39:H39"/>
    <mergeCell ref="G40:H40"/>
    <mergeCell ref="G41:H41"/>
    <mergeCell ref="G10:G11"/>
    <mergeCell ref="H10:H11"/>
    <mergeCell ref="I10:I11"/>
    <mergeCell ref="B6:D6"/>
    <mergeCell ref="G6:I6"/>
    <mergeCell ref="G8:G9"/>
    <mergeCell ref="H8:H9"/>
    <mergeCell ref="I8:I9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5220-0225-4F84-90CD-CB981D55368B}">
  <sheetPr codeName="工作表10"/>
  <dimension ref="A1:I51"/>
  <sheetViews>
    <sheetView topLeftCell="A10" workbookViewId="0">
      <selection activeCell="E7" sqref="E7:F7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110</v>
      </c>
      <c r="C4" s="8" t="s">
        <v>115</v>
      </c>
      <c r="D4" s="9"/>
      <c r="E4" s="9"/>
      <c r="F4" s="9"/>
      <c r="G4" s="9"/>
      <c r="H4" s="9"/>
      <c r="I4" s="10"/>
    </row>
    <row r="5" spans="1:9" ht="17.25" customHeight="1" thickBo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48" t="s">
        <v>133</v>
      </c>
      <c r="F6" s="49" t="s">
        <v>133</v>
      </c>
      <c r="G6" s="68"/>
      <c r="H6" s="68"/>
      <c r="I6" s="66"/>
    </row>
    <row r="7" spans="1:9" ht="15" customHeight="1">
      <c r="A7" s="69" t="s">
        <v>9</v>
      </c>
      <c r="B7" s="71" t="s">
        <v>10</v>
      </c>
      <c r="C7" s="73" t="s">
        <v>11</v>
      </c>
      <c r="D7" s="73" t="s">
        <v>12</v>
      </c>
      <c r="E7" s="57" t="s">
        <v>143</v>
      </c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51" t="s">
        <v>139</v>
      </c>
      <c r="F8" s="52" t="s">
        <v>140</v>
      </c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7.72</v>
      </c>
      <c r="C9" s="33">
        <v>7.84</v>
      </c>
      <c r="D9" s="33">
        <v>7.55</v>
      </c>
      <c r="E9" s="37" t="s">
        <v>16</v>
      </c>
      <c r="F9" s="5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275</v>
      </c>
      <c r="C10" s="28">
        <v>2270</v>
      </c>
      <c r="D10" s="28">
        <v>2150</v>
      </c>
      <c r="E10" s="37" t="s">
        <v>20</v>
      </c>
      <c r="F10" s="50"/>
      <c r="G10" s="76"/>
      <c r="H10" s="67"/>
      <c r="I10" s="67"/>
    </row>
    <row r="11" spans="1:9" ht="30" customHeight="1">
      <c r="A11" s="19" t="s">
        <v>21</v>
      </c>
      <c r="B11" s="31">
        <v>205</v>
      </c>
      <c r="C11" s="28">
        <v>1705</v>
      </c>
      <c r="D11" s="28">
        <v>1615</v>
      </c>
      <c r="E11" s="37"/>
      <c r="F11" s="5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104</v>
      </c>
      <c r="C12" s="28">
        <v>62</v>
      </c>
      <c r="D12" s="28">
        <v>51</v>
      </c>
      <c r="E12" s="37"/>
      <c r="F12" s="50"/>
      <c r="G12" s="76"/>
      <c r="H12" s="67"/>
      <c r="I12" s="67"/>
    </row>
    <row r="13" spans="1:9" ht="30" customHeight="1">
      <c r="A13" s="19" t="s">
        <v>24</v>
      </c>
      <c r="B13" s="28">
        <v>130</v>
      </c>
      <c r="C13" s="28">
        <v>1128</v>
      </c>
      <c r="D13" s="28">
        <v>1122</v>
      </c>
      <c r="E13" s="37"/>
      <c r="F13" s="50"/>
      <c r="G13" s="22" t="s">
        <v>25</v>
      </c>
      <c r="H13" s="18"/>
      <c r="I13" s="18"/>
    </row>
    <row r="14" spans="1:9" ht="30" customHeight="1">
      <c r="A14" s="19" t="s">
        <v>26</v>
      </c>
      <c r="B14" s="28">
        <v>87</v>
      </c>
      <c r="C14" s="28">
        <v>780</v>
      </c>
      <c r="D14" s="28">
        <v>802</v>
      </c>
      <c r="E14" s="37" t="s">
        <v>117</v>
      </c>
      <c r="F14" s="50" t="s">
        <v>134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43</v>
      </c>
      <c r="C15" s="28">
        <f>C13-C14</f>
        <v>348</v>
      </c>
      <c r="D15" s="28">
        <f>D13-D14</f>
        <v>320</v>
      </c>
      <c r="E15" s="37"/>
      <c r="F15" s="50"/>
      <c r="G15" s="78" t="s">
        <v>31</v>
      </c>
      <c r="H15" s="18"/>
      <c r="I15" s="18"/>
    </row>
    <row r="16" spans="1:9" ht="30" customHeight="1">
      <c r="A16" s="19" t="s">
        <v>32</v>
      </c>
      <c r="B16" s="28">
        <v>13</v>
      </c>
      <c r="C16" s="28">
        <v>117</v>
      </c>
      <c r="D16" s="28">
        <v>102</v>
      </c>
      <c r="E16" s="37" t="s">
        <v>118</v>
      </c>
      <c r="F16" s="50" t="s">
        <v>135</v>
      </c>
      <c r="G16" s="76"/>
      <c r="H16" s="18"/>
      <c r="I16" s="18"/>
    </row>
    <row r="17" spans="1:9" ht="30" customHeight="1">
      <c r="A17" s="19" t="s">
        <v>35</v>
      </c>
      <c r="B17" s="28">
        <v>49.8</v>
      </c>
      <c r="C17" s="28">
        <v>1042</v>
      </c>
      <c r="D17" s="28">
        <v>1097</v>
      </c>
      <c r="E17" s="37" t="s">
        <v>20</v>
      </c>
      <c r="F17" s="50"/>
      <c r="G17" s="78" t="s">
        <v>36</v>
      </c>
      <c r="H17" s="18"/>
      <c r="I17" s="18"/>
    </row>
    <row r="18" spans="1:9" ht="30" customHeight="1">
      <c r="A18" s="19" t="s">
        <v>37</v>
      </c>
      <c r="B18" s="28">
        <v>10</v>
      </c>
      <c r="C18" s="28">
        <v>75</v>
      </c>
      <c r="D18" s="28">
        <v>79</v>
      </c>
      <c r="E18" s="37" t="s">
        <v>119</v>
      </c>
      <c r="F18" s="50" t="s">
        <v>136</v>
      </c>
      <c r="G18" s="76"/>
      <c r="H18" s="18"/>
      <c r="I18" s="18"/>
    </row>
    <row r="19" spans="1:9" ht="30" customHeight="1">
      <c r="A19" s="19" t="s">
        <v>40</v>
      </c>
      <c r="B19" s="28"/>
      <c r="C19" s="28">
        <v>5.34</v>
      </c>
      <c r="D19" s="33">
        <v>5.6</v>
      </c>
      <c r="E19" s="37"/>
      <c r="F19" s="5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28">
        <v>4.29</v>
      </c>
      <c r="D20" s="33">
        <v>2.14</v>
      </c>
      <c r="E20" s="37"/>
      <c r="F20" s="5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1.0499999999999998</v>
      </c>
      <c r="D21" s="28">
        <f>D19-D20</f>
        <v>3.4599999999999995</v>
      </c>
      <c r="E21" s="37"/>
      <c r="F21" s="5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3.96</v>
      </c>
      <c r="D22" s="28">
        <v>1.92</v>
      </c>
      <c r="E22" s="37" t="s">
        <v>120</v>
      </c>
      <c r="F22" s="50" t="s">
        <v>137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0.03</v>
      </c>
      <c r="C23" s="28">
        <v>0.19</v>
      </c>
      <c r="D23" s="33">
        <v>0.14000000000000001</v>
      </c>
      <c r="E23" s="37" t="s">
        <v>50</v>
      </c>
      <c r="F23" s="5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28">
        <v>1.03</v>
      </c>
      <c r="D24" s="28">
        <v>1.26</v>
      </c>
      <c r="E24" s="37" t="s">
        <v>121</v>
      </c>
      <c r="F24" s="50" t="s">
        <v>121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28">
        <v>10</v>
      </c>
      <c r="D25" s="28">
        <v>10</v>
      </c>
      <c r="E25" s="37"/>
      <c r="F25" s="50"/>
      <c r="G25" s="78" t="s">
        <v>56</v>
      </c>
      <c r="H25" s="18"/>
      <c r="I25" s="18"/>
    </row>
    <row r="26" spans="1:9" ht="20.100000000000001" customHeight="1">
      <c r="A26" s="18"/>
      <c r="B26" s="28"/>
      <c r="C26" s="28"/>
      <c r="D26" s="28"/>
      <c r="E26" s="37"/>
      <c r="F26" s="50"/>
      <c r="G26" s="76"/>
      <c r="H26" s="18"/>
      <c r="I26" s="18"/>
    </row>
    <row r="27" spans="1:9" ht="20.100000000000001" customHeight="1">
      <c r="A27" s="18" t="s">
        <v>57</v>
      </c>
      <c r="B27" s="28"/>
      <c r="C27" s="33">
        <v>45.4</v>
      </c>
      <c r="D27" s="28">
        <v>51.82</v>
      </c>
      <c r="E27" s="37" t="s">
        <v>138</v>
      </c>
      <c r="F27" s="50" t="s">
        <v>138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28"/>
      <c r="C28" s="28">
        <v>1.81</v>
      </c>
      <c r="D28" s="28">
        <v>1.54</v>
      </c>
      <c r="E28" s="37" t="s">
        <v>123</v>
      </c>
      <c r="F28" s="29" t="s">
        <v>92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28">
        <v>0.5</v>
      </c>
      <c r="C29" s="34">
        <v>10</v>
      </c>
      <c r="D29" s="34">
        <v>8.3000000000000007</v>
      </c>
      <c r="E29" s="37" t="s">
        <v>63</v>
      </c>
      <c r="F29" s="50" t="s">
        <v>63</v>
      </c>
      <c r="G29" s="17"/>
      <c r="H29" s="18"/>
      <c r="I29" s="18"/>
    </row>
    <row r="30" spans="1:9" ht="20.100000000000001" customHeight="1">
      <c r="A30" s="23" t="s">
        <v>64</v>
      </c>
      <c r="B30" s="28">
        <v>0.06</v>
      </c>
      <c r="C30" s="28">
        <v>0.03</v>
      </c>
      <c r="D30" s="28">
        <v>0.02</v>
      </c>
      <c r="E30" s="37" t="s">
        <v>65</v>
      </c>
      <c r="F30" s="5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28" t="s">
        <v>113</v>
      </c>
      <c r="D31" s="28" t="s">
        <v>113</v>
      </c>
      <c r="E31" s="37" t="s">
        <v>124</v>
      </c>
      <c r="F31" s="50" t="s">
        <v>124</v>
      </c>
      <c r="G31" s="17"/>
      <c r="H31" s="18"/>
      <c r="I31" s="18"/>
    </row>
    <row r="32" spans="1:9" ht="20.100000000000001" customHeight="1">
      <c r="A32" s="18" t="s">
        <v>67</v>
      </c>
      <c r="B32" s="28">
        <v>0.72</v>
      </c>
      <c r="C32" s="28">
        <v>5.51</v>
      </c>
      <c r="D32" s="28">
        <v>2.0299999999999998</v>
      </c>
      <c r="E32" s="37" t="s">
        <v>125</v>
      </c>
      <c r="F32" s="50" t="s">
        <v>125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37" t="s">
        <v>126</v>
      </c>
      <c r="F33" s="50"/>
      <c r="G33" s="17"/>
      <c r="H33" s="18"/>
      <c r="I33" s="18"/>
    </row>
    <row r="34" spans="1:9" ht="20.100000000000001" customHeight="1">
      <c r="A34" s="18" t="s">
        <v>70</v>
      </c>
      <c r="B34" s="28">
        <v>5</v>
      </c>
      <c r="C34" s="28">
        <v>84</v>
      </c>
      <c r="D34" s="28">
        <v>108</v>
      </c>
      <c r="E34" s="45"/>
      <c r="F34" s="36"/>
      <c r="G34" s="17"/>
      <c r="H34" s="18"/>
      <c r="I34" s="18"/>
    </row>
    <row r="35" spans="1:9" ht="20.100000000000001" customHeight="1">
      <c r="A35" s="18" t="s">
        <v>71</v>
      </c>
      <c r="B35" s="28">
        <v>47</v>
      </c>
      <c r="C35" s="28">
        <v>13</v>
      </c>
      <c r="D35" s="28">
        <v>16</v>
      </c>
      <c r="E35" s="46"/>
      <c r="F35" s="36"/>
      <c r="G35" s="17"/>
      <c r="H35" s="18"/>
      <c r="I35" s="18"/>
    </row>
    <row r="36" spans="1:9" ht="20.100000000000001" customHeight="1">
      <c r="A36" s="18" t="s">
        <v>72</v>
      </c>
      <c r="B36" s="28">
        <v>0.09</v>
      </c>
      <c r="C36" s="28">
        <v>0.33</v>
      </c>
      <c r="D36" s="28">
        <v>0.23</v>
      </c>
      <c r="E36" s="46"/>
      <c r="F36" s="36"/>
      <c r="G36" s="17"/>
      <c r="H36" s="18"/>
      <c r="I36" s="18"/>
    </row>
    <row r="37" spans="1:9" ht="20.100000000000001" customHeight="1">
      <c r="A37" s="18" t="s">
        <v>73</v>
      </c>
      <c r="B37" s="28"/>
      <c r="C37" s="33">
        <f>C14/B14</f>
        <v>8.9655172413793096</v>
      </c>
      <c r="D37" s="33">
        <f>D14/B14</f>
        <v>9.2183908045977017</v>
      </c>
      <c r="E37" s="46"/>
      <c r="F37" s="36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33">
        <v>0.79</v>
      </c>
      <c r="D38" s="33">
        <v>0.45</v>
      </c>
      <c r="E38" s="46"/>
      <c r="F38" s="36" t="s">
        <v>127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28">
        <v>6.25</v>
      </c>
      <c r="D39" s="33">
        <v>6.66</v>
      </c>
      <c r="E39" s="46"/>
      <c r="F39" s="36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>
      <c r="A43" s="79" t="s">
        <v>84</v>
      </c>
      <c r="B43" s="106"/>
      <c r="C43" s="107"/>
      <c r="D43" s="107"/>
      <c r="E43" s="107"/>
      <c r="F43" s="107"/>
      <c r="G43" s="107"/>
      <c r="H43" s="107"/>
      <c r="I43" s="108"/>
    </row>
    <row r="44" spans="1:9">
      <c r="A44" s="80"/>
      <c r="B44" s="106"/>
      <c r="C44" s="107"/>
      <c r="D44" s="107"/>
      <c r="E44" s="107"/>
      <c r="F44" s="107"/>
      <c r="G44" s="107"/>
      <c r="H44" s="107"/>
      <c r="I44" s="108"/>
    </row>
    <row r="45" spans="1:9">
      <c r="A45" s="80"/>
      <c r="B45" s="106"/>
      <c r="C45" s="107"/>
      <c r="D45" s="107"/>
      <c r="E45" s="107"/>
      <c r="F45" s="107"/>
      <c r="G45" s="107"/>
      <c r="H45" s="107"/>
      <c r="I45" s="108"/>
    </row>
    <row r="46" spans="1:9">
      <c r="A46" s="80"/>
      <c r="B46" s="106"/>
      <c r="C46" s="107"/>
      <c r="D46" s="107"/>
      <c r="E46" s="107"/>
      <c r="F46" s="107"/>
      <c r="G46" s="107"/>
      <c r="H46" s="107"/>
      <c r="I46" s="108"/>
    </row>
    <row r="47" spans="1:9">
      <c r="A47" s="80"/>
      <c r="B47" s="106"/>
      <c r="C47" s="107"/>
      <c r="D47" s="107"/>
      <c r="E47" s="107"/>
      <c r="F47" s="107"/>
      <c r="G47" s="107"/>
      <c r="H47" s="107"/>
      <c r="I47" s="108"/>
    </row>
    <row r="48" spans="1:9">
      <c r="A48" s="80"/>
      <c r="B48" s="106"/>
      <c r="C48" s="107"/>
      <c r="D48" s="107"/>
      <c r="E48" s="107"/>
      <c r="F48" s="107"/>
      <c r="G48" s="107"/>
      <c r="H48" s="107"/>
      <c r="I48" s="108"/>
    </row>
    <row r="49" spans="1:9">
      <c r="A49" s="80"/>
      <c r="B49" s="109"/>
      <c r="C49" s="110"/>
      <c r="D49" s="110"/>
      <c r="E49" s="110"/>
      <c r="F49" s="110"/>
      <c r="G49" s="110"/>
      <c r="H49" s="110"/>
      <c r="I49" s="111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H11:H12"/>
    <mergeCell ref="I11:I12"/>
    <mergeCell ref="B6:D6"/>
    <mergeCell ref="G6:I6"/>
    <mergeCell ref="G9:G10"/>
    <mergeCell ref="H9:H10"/>
    <mergeCell ref="I9:I10"/>
    <mergeCell ref="A7:A8"/>
    <mergeCell ref="B7:B8"/>
    <mergeCell ref="C7:C8"/>
    <mergeCell ref="D7:D8"/>
    <mergeCell ref="G11:G12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5772-D0A4-4EAD-BED5-696CA936F6C2}">
  <sheetPr codeName="工作表1"/>
  <dimension ref="A1:I51"/>
  <sheetViews>
    <sheetView topLeftCell="A24" workbookViewId="0">
      <selection activeCell="E7" sqref="E7:F7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4</v>
      </c>
      <c r="C4" s="8" t="s">
        <v>5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 t="s">
        <v>8</v>
      </c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 t="s">
        <v>143</v>
      </c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 t="s">
        <v>90</v>
      </c>
      <c r="F8" s="27" t="s">
        <v>91</v>
      </c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28">
        <v>7.83</v>
      </c>
      <c r="C9" s="28">
        <v>7.89</v>
      </c>
      <c r="D9" s="28">
        <v>7.65</v>
      </c>
      <c r="E9" s="29" t="s">
        <v>16</v>
      </c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285</v>
      </c>
      <c r="C10" s="28">
        <v>2150</v>
      </c>
      <c r="D10" s="28">
        <v>2020</v>
      </c>
      <c r="E10" s="29" t="s">
        <v>20</v>
      </c>
      <c r="F10" s="30"/>
      <c r="G10" s="76"/>
      <c r="H10" s="67"/>
      <c r="I10" s="67"/>
    </row>
    <row r="11" spans="1:9" ht="30" customHeight="1">
      <c r="A11" s="19" t="s">
        <v>21</v>
      </c>
      <c r="B11" s="31">
        <v>215</v>
      </c>
      <c r="C11" s="28">
        <v>1615</v>
      </c>
      <c r="D11" s="28">
        <v>1515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100</v>
      </c>
      <c r="C12" s="28">
        <v>61</v>
      </c>
      <c r="D12" s="28">
        <v>53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122</v>
      </c>
      <c r="C13" s="28">
        <v>1038</v>
      </c>
      <c r="D13" s="28">
        <v>1034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80</v>
      </c>
      <c r="C14" s="28">
        <v>700</v>
      </c>
      <c r="D14" s="28">
        <v>710</v>
      </c>
      <c r="E14" s="29" t="s">
        <v>27</v>
      </c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42</v>
      </c>
      <c r="C15" s="28">
        <f>C13-C14</f>
        <v>338</v>
      </c>
      <c r="D15" s="28">
        <f>D13-D14</f>
        <v>324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11</v>
      </c>
      <c r="C16" s="28">
        <v>114</v>
      </c>
      <c r="D16" s="28">
        <v>96</v>
      </c>
      <c r="E16" s="29" t="s">
        <v>33</v>
      </c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49.7</v>
      </c>
      <c r="C17" s="28">
        <v>1039</v>
      </c>
      <c r="D17" s="28">
        <v>1054</v>
      </c>
      <c r="E17" s="29" t="s">
        <v>20</v>
      </c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8</v>
      </c>
      <c r="C18" s="28">
        <v>70</v>
      </c>
      <c r="D18" s="28">
        <v>72</v>
      </c>
      <c r="E18" s="29" t="s">
        <v>38</v>
      </c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28">
        <v>5.77</v>
      </c>
      <c r="D19" s="28">
        <v>5.09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28">
        <v>4.9000000000000004</v>
      </c>
      <c r="D20" s="28">
        <v>1.91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28">
        <f>C19-C20</f>
        <v>0.86999999999999922</v>
      </c>
      <c r="D21" s="28">
        <f>D19-D20</f>
        <v>3.1799999999999997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28">
        <v>4.6500000000000004</v>
      </c>
      <c r="D22" s="28">
        <v>1.65</v>
      </c>
      <c r="E22" s="29" t="s">
        <v>47</v>
      </c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0.02</v>
      </c>
      <c r="C23" s="28">
        <v>0.16</v>
      </c>
      <c r="D23" s="28">
        <v>0.14000000000000001</v>
      </c>
      <c r="E23" s="29" t="s">
        <v>50</v>
      </c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28">
        <v>1.07</v>
      </c>
      <c r="D24" s="28">
        <v>1.36</v>
      </c>
      <c r="E24" s="29" t="s">
        <v>54</v>
      </c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28">
        <v>10</v>
      </c>
      <c r="D25" s="28">
        <v>15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28"/>
      <c r="D26" s="28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28"/>
      <c r="C27" s="28">
        <v>45.39</v>
      </c>
      <c r="D27" s="28">
        <v>51.37</v>
      </c>
      <c r="E27" s="29" t="s">
        <v>58</v>
      </c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28"/>
      <c r="C28" s="28">
        <v>1.82</v>
      </c>
      <c r="D28" s="28">
        <v>1.52</v>
      </c>
      <c r="E28" s="29" t="s">
        <v>92</v>
      </c>
      <c r="F28" s="29" t="s">
        <v>92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28">
        <v>0.3</v>
      </c>
      <c r="C29" s="28">
        <v>4.3</v>
      </c>
      <c r="D29" s="28">
        <v>2.2999999999999998</v>
      </c>
      <c r="E29" s="29" t="s">
        <v>63</v>
      </c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28">
        <v>0.13</v>
      </c>
      <c r="C30" s="28">
        <v>0.04</v>
      </c>
      <c r="D30" s="28">
        <v>0.02</v>
      </c>
      <c r="E30" s="29" t="s">
        <v>65</v>
      </c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28" t="s">
        <v>93</v>
      </c>
      <c r="D31" s="28" t="s">
        <v>93</v>
      </c>
      <c r="E31" s="29" t="s">
        <v>94</v>
      </c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0.36</v>
      </c>
      <c r="C32" s="28">
        <v>3.84</v>
      </c>
      <c r="D32" s="28">
        <v>1.52</v>
      </c>
      <c r="E32" s="29" t="s">
        <v>63</v>
      </c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 t="s">
        <v>69</v>
      </c>
      <c r="F33" s="30"/>
      <c r="G33" s="17"/>
      <c r="H33" s="18"/>
      <c r="I33" s="18"/>
    </row>
    <row r="34" spans="1:9" ht="20.100000000000001" customHeight="1">
      <c r="A34" s="18" t="s">
        <v>70</v>
      </c>
      <c r="B34" s="28">
        <v>5</v>
      </c>
      <c r="C34" s="28">
        <v>96</v>
      </c>
      <c r="D34" s="28">
        <v>106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28">
        <v>53</v>
      </c>
      <c r="C35" s="28">
        <v>10</v>
      </c>
      <c r="D35" s="28">
        <v>4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28">
        <v>0.05</v>
      </c>
      <c r="C36" s="28">
        <v>0.27</v>
      </c>
      <c r="D36" s="28">
        <v>0.19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33">
        <f>C14/B14</f>
        <v>8.75</v>
      </c>
      <c r="D37" s="33">
        <f>D14/B14</f>
        <v>8.875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28">
        <v>0.84</v>
      </c>
      <c r="D38" s="28">
        <v>0.56000000000000005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28">
        <v>6.2</v>
      </c>
      <c r="D39" s="28">
        <v>6.53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>
      <c r="A43" s="79" t="s">
        <v>84</v>
      </c>
      <c r="B43" s="106"/>
      <c r="C43" s="107"/>
      <c r="D43" s="107"/>
      <c r="E43" s="107"/>
      <c r="F43" s="107"/>
      <c r="G43" s="107"/>
      <c r="H43" s="107"/>
      <c r="I43" s="108"/>
    </row>
    <row r="44" spans="1:9">
      <c r="A44" s="80"/>
      <c r="B44" s="106"/>
      <c r="C44" s="107"/>
      <c r="D44" s="107"/>
      <c r="E44" s="107"/>
      <c r="F44" s="107"/>
      <c r="G44" s="107"/>
      <c r="H44" s="107"/>
      <c r="I44" s="108"/>
    </row>
    <row r="45" spans="1:9">
      <c r="A45" s="80"/>
      <c r="B45" s="106"/>
      <c r="C45" s="107"/>
      <c r="D45" s="107"/>
      <c r="E45" s="107"/>
      <c r="F45" s="107"/>
      <c r="G45" s="107"/>
      <c r="H45" s="107"/>
      <c r="I45" s="108"/>
    </row>
    <row r="46" spans="1:9">
      <c r="A46" s="80"/>
      <c r="B46" s="106"/>
      <c r="C46" s="107"/>
      <c r="D46" s="107"/>
      <c r="E46" s="107"/>
      <c r="F46" s="107"/>
      <c r="G46" s="107"/>
      <c r="H46" s="107"/>
      <c r="I46" s="108"/>
    </row>
    <row r="47" spans="1:9">
      <c r="A47" s="80"/>
      <c r="B47" s="106"/>
      <c r="C47" s="107"/>
      <c r="D47" s="107"/>
      <c r="E47" s="107"/>
      <c r="F47" s="107"/>
      <c r="G47" s="107"/>
      <c r="H47" s="107"/>
      <c r="I47" s="108"/>
    </row>
    <row r="48" spans="1:9">
      <c r="A48" s="80"/>
      <c r="B48" s="106"/>
      <c r="C48" s="107"/>
      <c r="D48" s="107"/>
      <c r="E48" s="107"/>
      <c r="F48" s="107"/>
      <c r="G48" s="107"/>
      <c r="H48" s="107"/>
      <c r="I48" s="108"/>
    </row>
    <row r="49" spans="1:9">
      <c r="A49" s="80"/>
      <c r="B49" s="109"/>
      <c r="C49" s="110"/>
      <c r="D49" s="110"/>
      <c r="E49" s="110"/>
      <c r="F49" s="110"/>
      <c r="G49" s="110"/>
      <c r="H49" s="110"/>
      <c r="I49" s="111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G15:G16"/>
    <mergeCell ref="G17:G18"/>
    <mergeCell ref="G11:G12"/>
    <mergeCell ref="H11:H12"/>
    <mergeCell ref="I11:I12"/>
    <mergeCell ref="B6:D6"/>
    <mergeCell ref="G6:I6"/>
    <mergeCell ref="G9:G10"/>
    <mergeCell ref="H9:H10"/>
    <mergeCell ref="I9:I10"/>
    <mergeCell ref="G19:G20"/>
    <mergeCell ref="G23:G24"/>
    <mergeCell ref="G25:G26"/>
    <mergeCell ref="G50:I50"/>
    <mergeCell ref="A51:C51"/>
    <mergeCell ref="D51:F51"/>
    <mergeCell ref="G51:I51"/>
    <mergeCell ref="A43:A49"/>
    <mergeCell ref="B43:I49"/>
    <mergeCell ref="G42:H42"/>
    <mergeCell ref="G37:H37"/>
    <mergeCell ref="G38:H38"/>
    <mergeCell ref="G39:H39"/>
    <mergeCell ref="G40:H40"/>
    <mergeCell ref="G41:H41"/>
    <mergeCell ref="A7:A8"/>
    <mergeCell ref="B7:B8"/>
    <mergeCell ref="C7:C8"/>
    <mergeCell ref="D7:D8"/>
    <mergeCell ref="A50:C50"/>
    <mergeCell ref="D50:F50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0F30-54A8-4205-9E74-18C96CB9D7FE}">
  <dimension ref="A1:I51"/>
  <sheetViews>
    <sheetView topLeftCell="A26" workbookViewId="0">
      <selection activeCell="E7" sqref="E7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4</v>
      </c>
      <c r="C4" s="8" t="s">
        <v>141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 t="s">
        <v>8</v>
      </c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 t="s">
        <v>143</v>
      </c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 t="s">
        <v>90</v>
      </c>
      <c r="F8" s="27" t="s">
        <v>91</v>
      </c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28">
        <v>7.15</v>
      </c>
      <c r="C9" s="28">
        <v>7.74</v>
      </c>
      <c r="D9" s="28">
        <v>7.68</v>
      </c>
      <c r="E9" s="29" t="s">
        <v>16</v>
      </c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284</v>
      </c>
      <c r="C10" s="28">
        <v>2160</v>
      </c>
      <c r="D10" s="28">
        <v>1970</v>
      </c>
      <c r="E10" s="29" t="s">
        <v>20</v>
      </c>
      <c r="F10" s="30"/>
      <c r="G10" s="76"/>
      <c r="H10" s="67"/>
      <c r="I10" s="67"/>
    </row>
    <row r="11" spans="1:9" ht="30" customHeight="1">
      <c r="A11" s="19" t="s">
        <v>21</v>
      </c>
      <c r="B11" s="31">
        <v>215</v>
      </c>
      <c r="C11" s="28">
        <v>1620</v>
      </c>
      <c r="D11" s="28">
        <v>1480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91</v>
      </c>
      <c r="C12" s="28">
        <v>61</v>
      </c>
      <c r="D12" s="28">
        <v>52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132</v>
      </c>
      <c r="C13" s="53">
        <v>1074</v>
      </c>
      <c r="D13" s="53">
        <v>1030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86</v>
      </c>
      <c r="C14" s="53">
        <v>744</v>
      </c>
      <c r="D14" s="53">
        <v>714</v>
      </c>
      <c r="E14" s="29" t="s">
        <v>27</v>
      </c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46</v>
      </c>
      <c r="C15" s="53">
        <f>C13-C14</f>
        <v>330</v>
      </c>
      <c r="D15" s="53">
        <f>D13-D14</f>
        <v>316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9</v>
      </c>
      <c r="C16" s="53">
        <v>113</v>
      </c>
      <c r="D16" s="53">
        <v>89</v>
      </c>
      <c r="E16" s="29" t="s">
        <v>33</v>
      </c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49.7</v>
      </c>
      <c r="C17" s="53">
        <v>1012</v>
      </c>
      <c r="D17" s="53">
        <v>1031</v>
      </c>
      <c r="E17" s="29" t="s">
        <v>20</v>
      </c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10</v>
      </c>
      <c r="C18" s="53">
        <v>71</v>
      </c>
      <c r="D18" s="53">
        <v>72</v>
      </c>
      <c r="E18" s="29" t="s">
        <v>38</v>
      </c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28">
        <v>6.07</v>
      </c>
      <c r="D19" s="28">
        <v>5.19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28">
        <v>5.17</v>
      </c>
      <c r="D20" s="28">
        <v>1.73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0.90000000000000036</v>
      </c>
      <c r="D21" s="28">
        <f>D19-D20</f>
        <v>3.4600000000000004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28">
        <v>4.91</v>
      </c>
      <c r="D22" s="28">
        <v>1.63</v>
      </c>
      <c r="E22" s="29" t="s">
        <v>47</v>
      </c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0.04</v>
      </c>
      <c r="C23" s="28">
        <v>0.14000000000000001</v>
      </c>
      <c r="D23" s="28">
        <v>0.11</v>
      </c>
      <c r="E23" s="29" t="s">
        <v>50</v>
      </c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28">
        <v>1.21</v>
      </c>
      <c r="D24" s="28">
        <v>1.02</v>
      </c>
      <c r="E24" s="29" t="s">
        <v>54</v>
      </c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28">
        <v>8</v>
      </c>
      <c r="D25" s="28">
        <v>6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28"/>
      <c r="D26" s="28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28"/>
      <c r="C27" s="28">
        <v>46.03</v>
      </c>
      <c r="D27" s="28">
        <v>50.39</v>
      </c>
      <c r="E27" s="29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28"/>
      <c r="C28" s="28">
        <v>1.72</v>
      </c>
      <c r="D28" s="28">
        <v>1.56</v>
      </c>
      <c r="E28" s="29" t="s">
        <v>92</v>
      </c>
      <c r="F28" s="29" t="s">
        <v>92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28">
        <v>0.5</v>
      </c>
      <c r="C29" s="34">
        <v>2</v>
      </c>
      <c r="D29" s="28">
        <v>2.7</v>
      </c>
      <c r="E29" s="29" t="s">
        <v>63</v>
      </c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28">
        <v>0.03</v>
      </c>
      <c r="C30" s="28">
        <v>0.03</v>
      </c>
      <c r="D30" s="28">
        <v>0.05</v>
      </c>
      <c r="E30" s="29" t="s">
        <v>65</v>
      </c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93</v>
      </c>
      <c r="D31" s="53" t="s">
        <v>109</v>
      </c>
      <c r="E31" s="29" t="s">
        <v>94</v>
      </c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0.46</v>
      </c>
      <c r="C32" s="28">
        <v>2.76</v>
      </c>
      <c r="D32" s="28">
        <v>1.39</v>
      </c>
      <c r="E32" s="29" t="s">
        <v>63</v>
      </c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 t="s">
        <v>69</v>
      </c>
      <c r="F33" s="30"/>
      <c r="G33" s="17"/>
      <c r="H33" s="18"/>
      <c r="I33" s="18"/>
    </row>
    <row r="34" spans="1:9" ht="20.100000000000001" customHeight="1">
      <c r="A34" s="18" t="s">
        <v>70</v>
      </c>
      <c r="B34" s="28">
        <v>8</v>
      </c>
      <c r="C34" s="28">
        <v>100</v>
      </c>
      <c r="D34" s="28">
        <v>91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28">
        <v>56</v>
      </c>
      <c r="C35" s="28">
        <v>9</v>
      </c>
      <c r="D35" s="28">
        <v>6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28">
        <v>7.0000000000000007E-2</v>
      </c>
      <c r="C36" s="28">
        <v>0.25</v>
      </c>
      <c r="D36" s="28">
        <v>0.33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8.6511627906976738</v>
      </c>
      <c r="D37" s="54">
        <f>D14/B14</f>
        <v>8.3023255813953494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3">
        <v>0.79</v>
      </c>
      <c r="D38" s="53">
        <v>0.51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6.28</v>
      </c>
      <c r="D39" s="53">
        <v>6.61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>
      <c r="A43" s="79" t="s">
        <v>84</v>
      </c>
      <c r="B43" s="106"/>
      <c r="C43" s="107"/>
      <c r="D43" s="107"/>
      <c r="E43" s="107"/>
      <c r="F43" s="107"/>
      <c r="G43" s="107"/>
      <c r="H43" s="107"/>
      <c r="I43" s="108"/>
    </row>
    <row r="44" spans="1:9">
      <c r="A44" s="80"/>
      <c r="B44" s="106"/>
      <c r="C44" s="107"/>
      <c r="D44" s="107"/>
      <c r="E44" s="107"/>
      <c r="F44" s="107"/>
      <c r="G44" s="107"/>
      <c r="H44" s="107"/>
      <c r="I44" s="108"/>
    </row>
    <row r="45" spans="1:9">
      <c r="A45" s="80"/>
      <c r="B45" s="106"/>
      <c r="C45" s="107"/>
      <c r="D45" s="107"/>
      <c r="E45" s="107"/>
      <c r="F45" s="107"/>
      <c r="G45" s="107"/>
      <c r="H45" s="107"/>
      <c r="I45" s="108"/>
    </row>
    <row r="46" spans="1:9">
      <c r="A46" s="80"/>
      <c r="B46" s="106"/>
      <c r="C46" s="107"/>
      <c r="D46" s="107"/>
      <c r="E46" s="107"/>
      <c r="F46" s="107"/>
      <c r="G46" s="107"/>
      <c r="H46" s="107"/>
      <c r="I46" s="108"/>
    </row>
    <row r="47" spans="1:9">
      <c r="A47" s="80"/>
      <c r="B47" s="106"/>
      <c r="C47" s="107"/>
      <c r="D47" s="107"/>
      <c r="E47" s="107"/>
      <c r="F47" s="107"/>
      <c r="G47" s="107"/>
      <c r="H47" s="107"/>
      <c r="I47" s="108"/>
    </row>
    <row r="48" spans="1:9">
      <c r="A48" s="80"/>
      <c r="B48" s="106"/>
      <c r="C48" s="107"/>
      <c r="D48" s="107"/>
      <c r="E48" s="107"/>
      <c r="F48" s="107"/>
      <c r="G48" s="107"/>
      <c r="H48" s="107"/>
      <c r="I48" s="108"/>
    </row>
    <row r="49" spans="1:9">
      <c r="A49" s="80"/>
      <c r="B49" s="109"/>
      <c r="C49" s="110"/>
      <c r="D49" s="110"/>
      <c r="E49" s="110"/>
      <c r="F49" s="110"/>
      <c r="G49" s="110"/>
      <c r="H49" s="110"/>
      <c r="I49" s="111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H11:H12"/>
    <mergeCell ref="I11:I12"/>
    <mergeCell ref="B6:D6"/>
    <mergeCell ref="G6:I6"/>
    <mergeCell ref="G9:G10"/>
    <mergeCell ref="H9:H10"/>
    <mergeCell ref="I9:I10"/>
    <mergeCell ref="A7:A8"/>
    <mergeCell ref="B7:B8"/>
    <mergeCell ref="C7:C8"/>
    <mergeCell ref="D7:D8"/>
    <mergeCell ref="G11:G12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B8377-723A-4FFB-B599-463A078EB135}">
  <dimension ref="A1:I51"/>
  <sheetViews>
    <sheetView topLeftCell="A23" workbookViewId="0">
      <selection activeCell="F34" sqref="F34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4</v>
      </c>
      <c r="C4" s="8" t="s">
        <v>144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 t="s">
        <v>8</v>
      </c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 t="s">
        <v>143</v>
      </c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28">
        <v>7.58</v>
      </c>
      <c r="C9" s="28">
        <v>7.82</v>
      </c>
      <c r="D9" s="28">
        <v>7.65</v>
      </c>
      <c r="E9" s="29" t="s">
        <v>16</v>
      </c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270</v>
      </c>
      <c r="C10" s="28">
        <v>2160</v>
      </c>
      <c r="D10" s="28">
        <v>1970</v>
      </c>
      <c r="E10" s="29" t="s">
        <v>20</v>
      </c>
      <c r="F10" s="30"/>
      <c r="G10" s="76"/>
      <c r="H10" s="67"/>
      <c r="I10" s="67"/>
    </row>
    <row r="11" spans="1:9" ht="30" customHeight="1">
      <c r="A11" s="19" t="s">
        <v>21</v>
      </c>
      <c r="B11" s="31">
        <v>205</v>
      </c>
      <c r="C11" s="28">
        <v>1620</v>
      </c>
      <c r="D11" s="28">
        <v>1480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100</v>
      </c>
      <c r="C12" s="28">
        <v>65</v>
      </c>
      <c r="D12" s="28">
        <v>53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129</v>
      </c>
      <c r="C13" s="53">
        <v>1064</v>
      </c>
      <c r="D13" s="53">
        <v>1042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87</v>
      </c>
      <c r="C14" s="53">
        <v>742</v>
      </c>
      <c r="D14" s="53">
        <v>704</v>
      </c>
      <c r="E14" s="29" t="s">
        <v>27</v>
      </c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42</v>
      </c>
      <c r="C15" s="53">
        <f>C13-C14</f>
        <v>322</v>
      </c>
      <c r="D15" s="53">
        <f>D13-D14</f>
        <v>338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9</v>
      </c>
      <c r="C16" s="53">
        <v>115</v>
      </c>
      <c r="D16" s="53">
        <v>92</v>
      </c>
      <c r="E16" s="29" t="s">
        <v>33</v>
      </c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50.6</v>
      </c>
      <c r="C17" s="53">
        <v>1085</v>
      </c>
      <c r="D17" s="53">
        <v>1036</v>
      </c>
      <c r="E17" s="29" t="s">
        <v>20</v>
      </c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71</v>
      </c>
      <c r="D18" s="53">
        <v>72</v>
      </c>
      <c r="E18" s="29" t="s">
        <v>38</v>
      </c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6.3</v>
      </c>
      <c r="D19" s="33">
        <v>4.8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28">
        <v>5.0199999999999996</v>
      </c>
      <c r="D20" s="28">
        <v>1.87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1.2800000000000002</v>
      </c>
      <c r="D21" s="28">
        <f>D19-D20</f>
        <v>2.9299999999999997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28">
        <v>4.97</v>
      </c>
      <c r="D22" s="28">
        <v>1.55</v>
      </c>
      <c r="E22" s="29" t="s">
        <v>47</v>
      </c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0.03</v>
      </c>
      <c r="C23" s="28">
        <v>0.18</v>
      </c>
      <c r="D23" s="28">
        <v>0.13</v>
      </c>
      <c r="E23" s="29" t="s">
        <v>50</v>
      </c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1.1000000000000001</v>
      </c>
      <c r="D24" s="53">
        <v>1.33</v>
      </c>
      <c r="E24" s="29" t="s">
        <v>54</v>
      </c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28">
        <v>8</v>
      </c>
      <c r="D25" s="28">
        <v>6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28"/>
      <c r="D26" s="28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28"/>
      <c r="C27" s="28">
        <v>45.19</v>
      </c>
      <c r="D27" s="28">
        <v>48.12</v>
      </c>
      <c r="E27" s="29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28"/>
      <c r="C28" s="54">
        <v>1.5</v>
      </c>
      <c r="D28" s="53">
        <v>1.52</v>
      </c>
      <c r="E28" s="29"/>
      <c r="F28" s="29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28">
        <v>0.7</v>
      </c>
      <c r="C29" s="34">
        <v>9</v>
      </c>
      <c r="D29" s="28">
        <v>4.7</v>
      </c>
      <c r="E29" s="29" t="s">
        <v>63</v>
      </c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28">
        <v>0.11</v>
      </c>
      <c r="C30" s="28">
        <v>0.03</v>
      </c>
      <c r="D30" s="28">
        <v>0.04</v>
      </c>
      <c r="E30" s="29" t="s">
        <v>65</v>
      </c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106</v>
      </c>
      <c r="D31" s="53" t="s">
        <v>107</v>
      </c>
      <c r="E31" s="29" t="s">
        <v>94</v>
      </c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0.28999999999999998</v>
      </c>
      <c r="C32" s="28">
        <v>4.95</v>
      </c>
      <c r="D32" s="28">
        <v>1.06</v>
      </c>
      <c r="E32" s="29" t="s">
        <v>63</v>
      </c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 t="s">
        <v>69</v>
      </c>
      <c r="F33" s="30"/>
      <c r="G33" s="17"/>
      <c r="H33" s="18"/>
      <c r="I33" s="18"/>
    </row>
    <row r="34" spans="1:9" ht="20.100000000000001" customHeight="1">
      <c r="A34" s="18" t="s">
        <v>70</v>
      </c>
      <c r="B34" s="28">
        <v>6</v>
      </c>
      <c r="C34" s="28">
        <v>126</v>
      </c>
      <c r="D34" s="28">
        <v>135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28">
        <v>22</v>
      </c>
      <c r="C35" s="28">
        <v>5</v>
      </c>
      <c r="D35" s="28">
        <v>3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28">
        <v>0.03</v>
      </c>
      <c r="C36" s="28">
        <v>0.19</v>
      </c>
      <c r="D36" s="28">
        <v>0.19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8.5287356321839081</v>
      </c>
      <c r="D37" s="54">
        <f>D14/B14</f>
        <v>8.0919540229885065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3">
        <v>0.81</v>
      </c>
      <c r="D38" s="53">
        <v>0.53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6.21</v>
      </c>
      <c r="D39" s="53">
        <v>6.58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>
      <c r="A43" s="79" t="s">
        <v>84</v>
      </c>
      <c r="B43" s="106"/>
      <c r="C43" s="107"/>
      <c r="D43" s="107"/>
      <c r="E43" s="107"/>
      <c r="F43" s="107"/>
      <c r="G43" s="107"/>
      <c r="H43" s="107"/>
      <c r="I43" s="108"/>
    </row>
    <row r="44" spans="1:9">
      <c r="A44" s="80"/>
      <c r="B44" s="106"/>
      <c r="C44" s="107"/>
      <c r="D44" s="107"/>
      <c r="E44" s="107"/>
      <c r="F44" s="107"/>
      <c r="G44" s="107"/>
      <c r="H44" s="107"/>
      <c r="I44" s="108"/>
    </row>
    <row r="45" spans="1:9">
      <c r="A45" s="80"/>
      <c r="B45" s="106"/>
      <c r="C45" s="107"/>
      <c r="D45" s="107"/>
      <c r="E45" s="107"/>
      <c r="F45" s="107"/>
      <c r="G45" s="107"/>
      <c r="H45" s="107"/>
      <c r="I45" s="108"/>
    </row>
    <row r="46" spans="1:9">
      <c r="A46" s="80"/>
      <c r="B46" s="106"/>
      <c r="C46" s="107"/>
      <c r="D46" s="107"/>
      <c r="E46" s="107"/>
      <c r="F46" s="107"/>
      <c r="G46" s="107"/>
      <c r="H46" s="107"/>
      <c r="I46" s="108"/>
    </row>
    <row r="47" spans="1:9">
      <c r="A47" s="80"/>
      <c r="B47" s="106"/>
      <c r="C47" s="107"/>
      <c r="D47" s="107"/>
      <c r="E47" s="107"/>
      <c r="F47" s="107"/>
      <c r="G47" s="107"/>
      <c r="H47" s="107"/>
      <c r="I47" s="108"/>
    </row>
    <row r="48" spans="1:9">
      <c r="A48" s="80"/>
      <c r="B48" s="106"/>
      <c r="C48" s="107"/>
      <c r="D48" s="107"/>
      <c r="E48" s="107"/>
      <c r="F48" s="107"/>
      <c r="G48" s="107"/>
      <c r="H48" s="107"/>
      <c r="I48" s="108"/>
    </row>
    <row r="49" spans="1:9">
      <c r="A49" s="80"/>
      <c r="B49" s="109"/>
      <c r="C49" s="110"/>
      <c r="D49" s="110"/>
      <c r="E49" s="110"/>
      <c r="F49" s="110"/>
      <c r="G49" s="110"/>
      <c r="H49" s="110"/>
      <c r="I49" s="111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8B72-DEB3-42F7-9DC6-775BB52359B9}">
  <dimension ref="A1:I51"/>
  <sheetViews>
    <sheetView topLeftCell="A21" zoomScaleNormal="100" workbookViewId="0">
      <selection activeCell="G31" sqref="G31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4</v>
      </c>
      <c r="C4" s="8" t="s">
        <v>146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 t="s">
        <v>8</v>
      </c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 t="s">
        <v>143</v>
      </c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28">
        <v>7.55</v>
      </c>
      <c r="C9" s="28">
        <v>7.73</v>
      </c>
      <c r="D9" s="28">
        <v>7.72</v>
      </c>
      <c r="E9" s="29" t="s">
        <v>16</v>
      </c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270</v>
      </c>
      <c r="C10" s="28">
        <v>2160</v>
      </c>
      <c r="D10" s="28">
        <v>1980</v>
      </c>
      <c r="E10" s="29" t="s">
        <v>20</v>
      </c>
      <c r="F10" s="30"/>
      <c r="G10" s="76"/>
      <c r="H10" s="67"/>
      <c r="I10" s="67"/>
    </row>
    <row r="11" spans="1:9" ht="30" customHeight="1">
      <c r="A11" s="19" t="s">
        <v>21</v>
      </c>
      <c r="B11" s="31">
        <v>205</v>
      </c>
      <c r="C11" s="28">
        <v>1620</v>
      </c>
      <c r="D11" s="28">
        <v>1485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93</v>
      </c>
      <c r="C12" s="28">
        <v>60</v>
      </c>
      <c r="D12" s="28">
        <v>50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133</v>
      </c>
      <c r="C13" s="53">
        <v>1092</v>
      </c>
      <c r="D13" s="53">
        <v>1070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89</v>
      </c>
      <c r="C14" s="53">
        <v>759</v>
      </c>
      <c r="D14" s="53">
        <v>716</v>
      </c>
      <c r="E14" s="29" t="s">
        <v>27</v>
      </c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44</v>
      </c>
      <c r="C15" s="53">
        <f>C13-C14</f>
        <v>333</v>
      </c>
      <c r="D15" s="53">
        <f>D13-D14</f>
        <v>354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11</v>
      </c>
      <c r="C16" s="53">
        <v>107</v>
      </c>
      <c r="D16" s="53">
        <v>101</v>
      </c>
      <c r="E16" s="29" t="s">
        <v>33</v>
      </c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50</v>
      </c>
      <c r="C17" s="53">
        <v>1101</v>
      </c>
      <c r="D17" s="53">
        <v>1036</v>
      </c>
      <c r="E17" s="29" t="s">
        <v>20</v>
      </c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10</v>
      </c>
      <c r="C18" s="53">
        <v>78</v>
      </c>
      <c r="D18" s="53">
        <v>75</v>
      </c>
      <c r="E18" s="29" t="s">
        <v>38</v>
      </c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4.91</v>
      </c>
      <c r="D19" s="33">
        <v>3.77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28">
        <v>3.74</v>
      </c>
      <c r="D20" s="33">
        <v>1.6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1.17</v>
      </c>
      <c r="D21" s="28">
        <f>D19-D20</f>
        <v>2.17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28">
        <v>3.43</v>
      </c>
      <c r="D22" s="28">
        <v>1.39</v>
      </c>
      <c r="E22" s="29" t="s">
        <v>47</v>
      </c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0.03</v>
      </c>
      <c r="C23" s="28">
        <v>0.15</v>
      </c>
      <c r="D23" s="28">
        <v>0.12</v>
      </c>
      <c r="E23" s="29" t="s">
        <v>50</v>
      </c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1.04</v>
      </c>
      <c r="D24" s="53">
        <v>1.02</v>
      </c>
      <c r="E24" s="29" t="s">
        <v>54</v>
      </c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28">
        <v>5</v>
      </c>
      <c r="D25" s="28">
        <v>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28"/>
      <c r="D26" s="28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28"/>
      <c r="C27" s="28">
        <v>45.68</v>
      </c>
      <c r="D27" s="28">
        <v>46.29</v>
      </c>
      <c r="E27" s="29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28"/>
      <c r="C28" s="54">
        <v>1.55</v>
      </c>
      <c r="D28" s="54">
        <v>1.5</v>
      </c>
      <c r="E28" s="29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28">
        <v>0.4</v>
      </c>
      <c r="C29" s="34">
        <v>4</v>
      </c>
      <c r="D29" s="28">
        <v>3.3</v>
      </c>
      <c r="E29" s="29" t="s">
        <v>63</v>
      </c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28">
        <v>0.06</v>
      </c>
      <c r="C30" s="28">
        <v>0.03</v>
      </c>
      <c r="D30" s="28">
        <v>0.03</v>
      </c>
      <c r="E30" s="29" t="s">
        <v>65</v>
      </c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107</v>
      </c>
      <c r="D31" s="53" t="s">
        <v>107</v>
      </c>
      <c r="E31" s="29" t="s">
        <v>94</v>
      </c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0.69</v>
      </c>
      <c r="C32" s="28">
        <v>3.5</v>
      </c>
      <c r="D32" s="28">
        <v>1.05</v>
      </c>
      <c r="E32" s="29" t="s">
        <v>63</v>
      </c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 t="s">
        <v>69</v>
      </c>
      <c r="F33" s="30"/>
      <c r="G33" s="17"/>
      <c r="H33" s="18"/>
      <c r="I33" s="18"/>
    </row>
    <row r="34" spans="1:9" ht="20.100000000000001" customHeight="1">
      <c r="A34" s="18" t="s">
        <v>70</v>
      </c>
      <c r="B34" s="28">
        <v>11</v>
      </c>
      <c r="C34" s="28">
        <v>101</v>
      </c>
      <c r="D34" s="28">
        <v>93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28">
        <v>32</v>
      </c>
      <c r="C35" s="28">
        <v>5</v>
      </c>
      <c r="D35" s="28">
        <v>7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28">
        <v>0.04</v>
      </c>
      <c r="C36" s="33">
        <v>0.3</v>
      </c>
      <c r="D36" s="28">
        <v>0.23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8.5280898876404496</v>
      </c>
      <c r="D37" s="54">
        <f>D14/B14</f>
        <v>8.0449438202247183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3">
        <v>0.69</v>
      </c>
      <c r="D38" s="53">
        <v>0.61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6.34</v>
      </c>
      <c r="D39" s="53">
        <v>6.49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>
      <c r="A43" s="79" t="s">
        <v>84</v>
      </c>
      <c r="B43" s="106"/>
      <c r="C43" s="107"/>
      <c r="D43" s="107"/>
      <c r="E43" s="107"/>
      <c r="F43" s="107"/>
      <c r="G43" s="107"/>
      <c r="H43" s="107"/>
      <c r="I43" s="108"/>
    </row>
    <row r="44" spans="1:9">
      <c r="A44" s="80"/>
      <c r="B44" s="106"/>
      <c r="C44" s="107"/>
      <c r="D44" s="107"/>
      <c r="E44" s="107"/>
      <c r="F44" s="107"/>
      <c r="G44" s="107"/>
      <c r="H44" s="107"/>
      <c r="I44" s="108"/>
    </row>
    <row r="45" spans="1:9">
      <c r="A45" s="80"/>
      <c r="B45" s="106"/>
      <c r="C45" s="107"/>
      <c r="D45" s="107"/>
      <c r="E45" s="107"/>
      <c r="F45" s="107"/>
      <c r="G45" s="107"/>
      <c r="H45" s="107"/>
      <c r="I45" s="108"/>
    </row>
    <row r="46" spans="1:9">
      <c r="A46" s="80"/>
      <c r="B46" s="106"/>
      <c r="C46" s="107"/>
      <c r="D46" s="107"/>
      <c r="E46" s="107"/>
      <c r="F46" s="107"/>
      <c r="G46" s="107"/>
      <c r="H46" s="107"/>
      <c r="I46" s="108"/>
    </row>
    <row r="47" spans="1:9">
      <c r="A47" s="80"/>
      <c r="B47" s="106"/>
      <c r="C47" s="107"/>
      <c r="D47" s="107"/>
      <c r="E47" s="107"/>
      <c r="F47" s="107"/>
      <c r="G47" s="107"/>
      <c r="H47" s="107"/>
      <c r="I47" s="108"/>
    </row>
    <row r="48" spans="1:9">
      <c r="A48" s="80"/>
      <c r="B48" s="106"/>
      <c r="C48" s="107"/>
      <c r="D48" s="107"/>
      <c r="E48" s="107"/>
      <c r="F48" s="107"/>
      <c r="G48" s="107"/>
      <c r="H48" s="107"/>
      <c r="I48" s="108"/>
    </row>
    <row r="49" spans="1:9">
      <c r="A49" s="80"/>
      <c r="B49" s="109"/>
      <c r="C49" s="110"/>
      <c r="D49" s="110"/>
      <c r="E49" s="110"/>
      <c r="F49" s="110"/>
      <c r="G49" s="110"/>
      <c r="H49" s="110"/>
      <c r="I49" s="111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F2EC-5F14-4029-A5AF-BB50EE375DCE}">
  <dimension ref="A1:I51"/>
  <sheetViews>
    <sheetView topLeftCell="A22" zoomScaleNormal="100" workbookViewId="0">
      <selection activeCell="G50" sqref="G50:I50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4</v>
      </c>
      <c r="C4" s="8" t="s">
        <v>97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 t="s">
        <v>8</v>
      </c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 t="s">
        <v>143</v>
      </c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28">
        <v>7.92</v>
      </c>
      <c r="C9" s="28">
        <v>7.79</v>
      </c>
      <c r="D9" s="28">
        <v>7.78</v>
      </c>
      <c r="E9" s="29" t="s">
        <v>16</v>
      </c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259</v>
      </c>
      <c r="C10" s="28">
        <v>2100</v>
      </c>
      <c r="D10" s="28">
        <v>1950</v>
      </c>
      <c r="E10" s="29" t="s">
        <v>20</v>
      </c>
      <c r="F10" s="30"/>
      <c r="G10" s="76"/>
      <c r="H10" s="67"/>
      <c r="I10" s="67"/>
    </row>
    <row r="11" spans="1:9" ht="30" customHeight="1">
      <c r="A11" s="19" t="s">
        <v>21</v>
      </c>
      <c r="B11" s="31">
        <v>195</v>
      </c>
      <c r="C11" s="28">
        <v>1575</v>
      </c>
      <c r="D11" s="28">
        <v>1465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90</v>
      </c>
      <c r="C12" s="28">
        <v>58</v>
      </c>
      <c r="D12" s="28">
        <v>48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133</v>
      </c>
      <c r="C13" s="53">
        <v>1082</v>
      </c>
      <c r="D13" s="53">
        <v>1056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88</v>
      </c>
      <c r="C14" s="53">
        <v>726</v>
      </c>
      <c r="D14" s="53">
        <v>700</v>
      </c>
      <c r="E14" s="29" t="s">
        <v>27</v>
      </c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45</v>
      </c>
      <c r="C15" s="53">
        <f>C13-C14</f>
        <v>356</v>
      </c>
      <c r="D15" s="53">
        <f>D13-D14</f>
        <v>356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9</v>
      </c>
      <c r="C16" s="53">
        <v>100</v>
      </c>
      <c r="D16" s="53">
        <v>93</v>
      </c>
      <c r="E16" s="29" t="s">
        <v>33</v>
      </c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47.5</v>
      </c>
      <c r="C17" s="53">
        <v>1037</v>
      </c>
      <c r="D17" s="53">
        <v>967</v>
      </c>
      <c r="E17" s="29" t="s">
        <v>20</v>
      </c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69</v>
      </c>
      <c r="D18" s="53">
        <v>69</v>
      </c>
      <c r="E18" s="29" t="s">
        <v>38</v>
      </c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4.03</v>
      </c>
      <c r="D19" s="33">
        <v>3.61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28">
        <v>2.58</v>
      </c>
      <c r="D20" s="33">
        <v>1.55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1.4500000000000002</v>
      </c>
      <c r="D21" s="28">
        <f>D19-D20</f>
        <v>2.0599999999999996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28">
        <v>2.38</v>
      </c>
      <c r="D22" s="28">
        <v>1.34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0.04</v>
      </c>
      <c r="C23" s="28">
        <v>0.16</v>
      </c>
      <c r="D23" s="28">
        <v>0.12</v>
      </c>
      <c r="E23" s="29" t="s">
        <v>50</v>
      </c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1.02</v>
      </c>
      <c r="D24" s="53">
        <v>1.05</v>
      </c>
      <c r="E24" s="29" t="s">
        <v>54</v>
      </c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28">
        <v>8</v>
      </c>
      <c r="D25" s="28">
        <v>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28"/>
      <c r="D26" s="28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28"/>
      <c r="C27" s="28">
        <v>47.38</v>
      </c>
      <c r="D27" s="28">
        <v>48.78</v>
      </c>
      <c r="E27" s="29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28"/>
      <c r="C28" s="54">
        <v>1.67</v>
      </c>
      <c r="D28" s="54">
        <v>1.51</v>
      </c>
      <c r="E28" s="29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28">
        <v>0.1</v>
      </c>
      <c r="C29" s="34">
        <v>4.7</v>
      </c>
      <c r="D29" s="28">
        <v>2</v>
      </c>
      <c r="E29" s="29" t="s">
        <v>63</v>
      </c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28">
        <v>0.09</v>
      </c>
      <c r="C30" s="28">
        <v>0.03</v>
      </c>
      <c r="D30" s="28">
        <v>0.03</v>
      </c>
      <c r="E30" s="29" t="s">
        <v>65</v>
      </c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93</v>
      </c>
      <c r="D31" s="53" t="s">
        <v>107</v>
      </c>
      <c r="E31" s="29" t="s">
        <v>94</v>
      </c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0.45</v>
      </c>
      <c r="C32" s="28">
        <v>3.89</v>
      </c>
      <c r="D32" s="28">
        <v>1.31</v>
      </c>
      <c r="E32" s="29" t="s">
        <v>63</v>
      </c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 t="s">
        <v>69</v>
      </c>
      <c r="F33" s="30"/>
      <c r="G33" s="17"/>
      <c r="H33" s="18"/>
      <c r="I33" s="18"/>
    </row>
    <row r="34" spans="1:9" ht="20.100000000000001" customHeight="1">
      <c r="A34" s="18" t="s">
        <v>70</v>
      </c>
      <c r="B34" s="28">
        <v>9</v>
      </c>
      <c r="C34" s="28">
        <v>92</v>
      </c>
      <c r="D34" s="28">
        <v>87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28">
        <v>36</v>
      </c>
      <c r="C35" s="28">
        <v>7</v>
      </c>
      <c r="D35" s="28">
        <v>14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28">
        <v>0.08</v>
      </c>
      <c r="C36" s="33">
        <v>0.19</v>
      </c>
      <c r="D36" s="28">
        <v>0.2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8.25</v>
      </c>
      <c r="D37" s="54">
        <f>D14/B14</f>
        <v>7.9545454545454541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3">
        <v>0.72</v>
      </c>
      <c r="D38" s="53">
        <v>0.6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6.35</v>
      </c>
      <c r="D39" s="53">
        <v>6.58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>
      <c r="A43" s="79" t="s">
        <v>84</v>
      </c>
      <c r="B43" s="106"/>
      <c r="C43" s="107"/>
      <c r="D43" s="107"/>
      <c r="E43" s="107"/>
      <c r="F43" s="107"/>
      <c r="G43" s="107"/>
      <c r="H43" s="107"/>
      <c r="I43" s="108"/>
    </row>
    <row r="44" spans="1:9">
      <c r="A44" s="80"/>
      <c r="B44" s="106"/>
      <c r="C44" s="107"/>
      <c r="D44" s="107"/>
      <c r="E44" s="107"/>
      <c r="F44" s="107"/>
      <c r="G44" s="107"/>
      <c r="H44" s="107"/>
      <c r="I44" s="108"/>
    </row>
    <row r="45" spans="1:9">
      <c r="A45" s="80"/>
      <c r="B45" s="106"/>
      <c r="C45" s="107"/>
      <c r="D45" s="107"/>
      <c r="E45" s="107"/>
      <c r="F45" s="107"/>
      <c r="G45" s="107"/>
      <c r="H45" s="107"/>
      <c r="I45" s="108"/>
    </row>
    <row r="46" spans="1:9">
      <c r="A46" s="80"/>
      <c r="B46" s="106"/>
      <c r="C46" s="107"/>
      <c r="D46" s="107"/>
      <c r="E46" s="107"/>
      <c r="F46" s="107"/>
      <c r="G46" s="107"/>
      <c r="H46" s="107"/>
      <c r="I46" s="108"/>
    </row>
    <row r="47" spans="1:9">
      <c r="A47" s="80"/>
      <c r="B47" s="106"/>
      <c r="C47" s="107"/>
      <c r="D47" s="107"/>
      <c r="E47" s="107"/>
      <c r="F47" s="107"/>
      <c r="G47" s="107"/>
      <c r="H47" s="107"/>
      <c r="I47" s="108"/>
    </row>
    <row r="48" spans="1:9">
      <c r="A48" s="80"/>
      <c r="B48" s="106"/>
      <c r="C48" s="107"/>
      <c r="D48" s="107"/>
      <c r="E48" s="107"/>
      <c r="F48" s="107"/>
      <c r="G48" s="107"/>
      <c r="H48" s="107"/>
      <c r="I48" s="108"/>
    </row>
    <row r="49" spans="1:9">
      <c r="A49" s="80"/>
      <c r="B49" s="109"/>
      <c r="C49" s="110"/>
      <c r="D49" s="110"/>
      <c r="E49" s="110"/>
      <c r="F49" s="110"/>
      <c r="G49" s="110"/>
      <c r="H49" s="110"/>
      <c r="I49" s="111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ED1C-0D8D-48A6-81D7-7D23F9494ED8}">
  <dimension ref="A1:I51"/>
  <sheetViews>
    <sheetView topLeftCell="A22" zoomScaleNormal="100" workbookViewId="0">
      <selection activeCell="B43" sqref="B43:I49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147</v>
      </c>
      <c r="C4" s="8" t="s">
        <v>148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28">
        <v>7.86</v>
      </c>
      <c r="C9" s="35">
        <v>7.83</v>
      </c>
      <c r="D9" s="28">
        <v>7.68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265</v>
      </c>
      <c r="C10" s="28">
        <v>2120</v>
      </c>
      <c r="D10" s="28">
        <v>1690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200</v>
      </c>
      <c r="C11" s="28">
        <v>1590</v>
      </c>
      <c r="D11" s="28">
        <v>1270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90</v>
      </c>
      <c r="C12" s="28">
        <v>61</v>
      </c>
      <c r="D12" s="28">
        <v>45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138</v>
      </c>
      <c r="C13" s="53">
        <v>1102</v>
      </c>
      <c r="D13" s="53">
        <v>908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91</v>
      </c>
      <c r="C14" s="53">
        <v>754</v>
      </c>
      <c r="D14" s="53">
        <v>614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47</v>
      </c>
      <c r="C15" s="53">
        <f>C13-C14</f>
        <v>348</v>
      </c>
      <c r="D15" s="53">
        <f>D13-D14</f>
        <v>294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11</v>
      </c>
      <c r="C16" s="53">
        <v>99</v>
      </c>
      <c r="D16" s="53">
        <v>74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46.4</v>
      </c>
      <c r="C17" s="53">
        <v>1054</v>
      </c>
      <c r="D17" s="53">
        <v>743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10</v>
      </c>
      <c r="C18" s="53">
        <v>72</v>
      </c>
      <c r="D18" s="53">
        <v>59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4.2300000000000004</v>
      </c>
      <c r="D19" s="33">
        <v>3.95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28">
        <v>2.3199999999999998</v>
      </c>
      <c r="D20" s="33">
        <v>1.43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1.9100000000000006</v>
      </c>
      <c r="D21" s="28">
        <f>D19-D20</f>
        <v>2.5200000000000005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28">
        <v>2.11</v>
      </c>
      <c r="D22" s="28">
        <v>1.24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0.04</v>
      </c>
      <c r="C23" s="28">
        <v>0.17</v>
      </c>
      <c r="D23" s="33">
        <v>0.1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</v>
      </c>
      <c r="D24" s="53">
        <v>1.03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28">
        <v>10</v>
      </c>
      <c r="D25" s="28">
        <v>7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28"/>
      <c r="D26" s="28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28"/>
      <c r="C27" s="33">
        <v>48</v>
      </c>
      <c r="D27" s="28">
        <v>46.28</v>
      </c>
      <c r="E27" s="29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28"/>
      <c r="C28" s="54">
        <v>1.68</v>
      </c>
      <c r="D28" s="54">
        <v>1.53</v>
      </c>
      <c r="E28" s="29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28">
        <v>0.1</v>
      </c>
      <c r="C29" s="34">
        <v>6.7</v>
      </c>
      <c r="D29" s="34">
        <v>2</v>
      </c>
      <c r="E29" s="29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28">
        <v>0.03</v>
      </c>
      <c r="C30" s="28">
        <v>0.02</v>
      </c>
      <c r="D30" s="28">
        <v>0.04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107</v>
      </c>
      <c r="D31" s="53" t="s">
        <v>107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0.53</v>
      </c>
      <c r="C32" s="28">
        <v>3.62</v>
      </c>
      <c r="D32" s="28">
        <v>1.28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28">
        <v>11</v>
      </c>
      <c r="C34" s="28">
        <v>79</v>
      </c>
      <c r="D34" s="28">
        <v>85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28">
        <v>42</v>
      </c>
      <c r="C35" s="28">
        <v>10</v>
      </c>
      <c r="D35" s="28">
        <v>5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33">
        <v>0.01</v>
      </c>
      <c r="C36" s="33">
        <v>0.18</v>
      </c>
      <c r="D36" s="28">
        <v>0.13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8.2857142857142865</v>
      </c>
      <c r="D37" s="54">
        <f>D14/B14</f>
        <v>6.7472527472527473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0.8</v>
      </c>
      <c r="D38" s="53">
        <v>0.39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6.24</v>
      </c>
      <c r="D39" s="53">
        <v>6.9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>
      <c r="A43" s="79" t="s">
        <v>84</v>
      </c>
      <c r="B43" s="106"/>
      <c r="C43" s="107"/>
      <c r="D43" s="107"/>
      <c r="E43" s="107"/>
      <c r="F43" s="107"/>
      <c r="G43" s="107"/>
      <c r="H43" s="107"/>
      <c r="I43" s="108"/>
    </row>
    <row r="44" spans="1:9">
      <c r="A44" s="80"/>
      <c r="B44" s="106"/>
      <c r="C44" s="107"/>
      <c r="D44" s="107"/>
      <c r="E44" s="107"/>
      <c r="F44" s="107"/>
      <c r="G44" s="107"/>
      <c r="H44" s="107"/>
      <c r="I44" s="108"/>
    </row>
    <row r="45" spans="1:9">
      <c r="A45" s="80"/>
      <c r="B45" s="106"/>
      <c r="C45" s="107"/>
      <c r="D45" s="107"/>
      <c r="E45" s="107"/>
      <c r="F45" s="107"/>
      <c r="G45" s="107"/>
      <c r="H45" s="107"/>
      <c r="I45" s="108"/>
    </row>
    <row r="46" spans="1:9">
      <c r="A46" s="80"/>
      <c r="B46" s="106"/>
      <c r="C46" s="107"/>
      <c r="D46" s="107"/>
      <c r="E46" s="107"/>
      <c r="F46" s="107"/>
      <c r="G46" s="107"/>
      <c r="H46" s="107"/>
      <c r="I46" s="108"/>
    </row>
    <row r="47" spans="1:9">
      <c r="A47" s="80"/>
      <c r="B47" s="106"/>
      <c r="C47" s="107"/>
      <c r="D47" s="107"/>
      <c r="E47" s="107"/>
      <c r="F47" s="107"/>
      <c r="G47" s="107"/>
      <c r="H47" s="107"/>
      <c r="I47" s="108"/>
    </row>
    <row r="48" spans="1:9">
      <c r="A48" s="80"/>
      <c r="B48" s="106"/>
      <c r="C48" s="107"/>
      <c r="D48" s="107"/>
      <c r="E48" s="107"/>
      <c r="F48" s="107"/>
      <c r="G48" s="107"/>
      <c r="H48" s="107"/>
      <c r="I48" s="108"/>
    </row>
    <row r="49" spans="1:9">
      <c r="A49" s="80"/>
      <c r="B49" s="109"/>
      <c r="C49" s="110"/>
      <c r="D49" s="110"/>
      <c r="E49" s="110"/>
      <c r="F49" s="110"/>
      <c r="G49" s="110"/>
      <c r="H49" s="110"/>
      <c r="I49" s="111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04C3-93C1-48E9-A9DD-EEFF09C6122E}">
  <dimension ref="A1:I51"/>
  <sheetViews>
    <sheetView topLeftCell="A21" zoomScaleNormal="100" workbookViewId="0">
      <selection activeCell="H19" sqref="H19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147</v>
      </c>
      <c r="C4" s="8" t="s">
        <v>149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28">
        <v>7.65</v>
      </c>
      <c r="C9" s="28">
        <v>7.76</v>
      </c>
      <c r="D9" s="28">
        <v>7.65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270</v>
      </c>
      <c r="C10" s="28">
        <v>2110</v>
      </c>
      <c r="D10" s="28">
        <v>1390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205</v>
      </c>
      <c r="C11" s="28">
        <v>1585</v>
      </c>
      <c r="D11" s="28">
        <v>1045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92</v>
      </c>
      <c r="C12" s="28">
        <v>56</v>
      </c>
      <c r="D12" s="28">
        <v>40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135</v>
      </c>
      <c r="C13" s="53">
        <v>1108</v>
      </c>
      <c r="D13" s="53">
        <v>760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96</v>
      </c>
      <c r="C14" s="53">
        <v>778</v>
      </c>
      <c r="D14" s="53">
        <v>522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39</v>
      </c>
      <c r="C15" s="53">
        <f>C13-C14</f>
        <v>330</v>
      </c>
      <c r="D15" s="53">
        <f>D13-D14</f>
        <v>238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10</v>
      </c>
      <c r="C16" s="53">
        <v>94</v>
      </c>
      <c r="D16" s="53">
        <v>64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47.7</v>
      </c>
      <c r="C17" s="53">
        <v>1006</v>
      </c>
      <c r="D17" s="53">
        <v>696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70</v>
      </c>
      <c r="D18" s="53">
        <v>49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3.24</v>
      </c>
      <c r="D19" s="33">
        <v>3.16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28">
        <v>1.78</v>
      </c>
      <c r="D20" s="33">
        <v>1.19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1.4600000000000002</v>
      </c>
      <c r="D21" s="28">
        <f>D19-D20</f>
        <v>1.9700000000000002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28">
        <v>1.59</v>
      </c>
      <c r="D22" s="28">
        <v>1.02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7.0000000000000007E-2</v>
      </c>
      <c r="C23" s="28">
        <v>0.19</v>
      </c>
      <c r="D23" s="33">
        <v>0.12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1.04</v>
      </c>
      <c r="D24" s="53">
        <v>1.01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28">
        <v>6</v>
      </c>
      <c r="D25" s="28">
        <v>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28"/>
      <c r="D26" s="28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28"/>
      <c r="C27" s="33">
        <v>45.46</v>
      </c>
      <c r="D27" s="28">
        <v>47.09</v>
      </c>
      <c r="E27" s="29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28"/>
      <c r="C28" s="54">
        <v>1.72</v>
      </c>
      <c r="D28" s="54">
        <v>1.52</v>
      </c>
      <c r="E28" s="29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28">
        <v>0.2</v>
      </c>
      <c r="C29" s="34">
        <v>6</v>
      </c>
      <c r="D29" s="34">
        <v>2.7</v>
      </c>
      <c r="E29" s="29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28">
        <v>0.2</v>
      </c>
      <c r="C30" s="28">
        <v>0.06</v>
      </c>
      <c r="D30" s="28">
        <v>0.03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93</v>
      </c>
      <c r="D31" s="53" t="s">
        <v>107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0.36</v>
      </c>
      <c r="C32" s="28">
        <v>2.57</v>
      </c>
      <c r="D32" s="28">
        <v>0.93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28">
        <v>9</v>
      </c>
      <c r="C34" s="28">
        <v>78</v>
      </c>
      <c r="D34" s="28">
        <v>88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28">
        <v>50</v>
      </c>
      <c r="C35" s="28">
        <v>7</v>
      </c>
      <c r="D35" s="28">
        <v>7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28">
        <v>0.01</v>
      </c>
      <c r="C36" s="33">
        <v>0.14000000000000001</v>
      </c>
      <c r="D36" s="28">
        <v>0.14000000000000001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8.1041666666666661</v>
      </c>
      <c r="D37" s="54">
        <f>D14/B14</f>
        <v>5.4375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0.72</v>
      </c>
      <c r="D38" s="53">
        <v>0.28000000000000003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6.32</v>
      </c>
      <c r="D39" s="53">
        <v>7.09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>
      <c r="A43" s="79" t="s">
        <v>84</v>
      </c>
      <c r="B43" s="106"/>
      <c r="C43" s="107"/>
      <c r="D43" s="107"/>
      <c r="E43" s="107"/>
      <c r="F43" s="107"/>
      <c r="G43" s="107"/>
      <c r="H43" s="107"/>
      <c r="I43" s="108"/>
    </row>
    <row r="44" spans="1:9">
      <c r="A44" s="80"/>
      <c r="B44" s="106"/>
      <c r="C44" s="107"/>
      <c r="D44" s="107"/>
      <c r="E44" s="107"/>
      <c r="F44" s="107"/>
      <c r="G44" s="107"/>
      <c r="H44" s="107"/>
      <c r="I44" s="108"/>
    </row>
    <row r="45" spans="1:9">
      <c r="A45" s="80"/>
      <c r="B45" s="106"/>
      <c r="C45" s="107"/>
      <c r="D45" s="107"/>
      <c r="E45" s="107"/>
      <c r="F45" s="107"/>
      <c r="G45" s="107"/>
      <c r="H45" s="107"/>
      <c r="I45" s="108"/>
    </row>
    <row r="46" spans="1:9">
      <c r="A46" s="80"/>
      <c r="B46" s="106"/>
      <c r="C46" s="107"/>
      <c r="D46" s="107"/>
      <c r="E46" s="107"/>
      <c r="F46" s="107"/>
      <c r="G46" s="107"/>
      <c r="H46" s="107"/>
      <c r="I46" s="108"/>
    </row>
    <row r="47" spans="1:9">
      <c r="A47" s="80"/>
      <c r="B47" s="106"/>
      <c r="C47" s="107"/>
      <c r="D47" s="107"/>
      <c r="E47" s="107"/>
      <c r="F47" s="107"/>
      <c r="G47" s="107"/>
      <c r="H47" s="107"/>
      <c r="I47" s="108"/>
    </row>
    <row r="48" spans="1:9">
      <c r="A48" s="80"/>
      <c r="B48" s="106"/>
      <c r="C48" s="107"/>
      <c r="D48" s="107"/>
      <c r="E48" s="107"/>
      <c r="F48" s="107"/>
      <c r="G48" s="107"/>
      <c r="H48" s="107"/>
      <c r="I48" s="108"/>
    </row>
    <row r="49" spans="1:9">
      <c r="A49" s="80"/>
      <c r="B49" s="109"/>
      <c r="C49" s="110"/>
      <c r="D49" s="110"/>
      <c r="E49" s="110"/>
      <c r="F49" s="110"/>
      <c r="G49" s="110"/>
      <c r="H49" s="110"/>
      <c r="I49" s="111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C1F0-A79B-4759-9285-B614111BD483}">
  <dimension ref="A1:I51"/>
  <sheetViews>
    <sheetView topLeftCell="A27" zoomScaleNormal="100" workbookViewId="0">
      <selection activeCell="B38" sqref="B38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147</v>
      </c>
      <c r="C4" s="8" t="s">
        <v>150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7.8</v>
      </c>
      <c r="C9" s="33">
        <v>7.7</v>
      </c>
      <c r="D9" s="33">
        <v>7.6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270</v>
      </c>
      <c r="C10" s="28">
        <v>2090</v>
      </c>
      <c r="D10" s="28">
        <v>1620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205</v>
      </c>
      <c r="C11" s="28">
        <v>1565</v>
      </c>
      <c r="D11" s="28">
        <v>1215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90</v>
      </c>
      <c r="C12" s="28">
        <v>56</v>
      </c>
      <c r="D12" s="28">
        <v>45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141</v>
      </c>
      <c r="C13" s="53">
        <v>1110</v>
      </c>
      <c r="D13" s="53">
        <v>892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97</v>
      </c>
      <c r="C14" s="53">
        <v>774</v>
      </c>
      <c r="D14" s="53">
        <v>601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44</v>
      </c>
      <c r="C15" s="53">
        <f>C13-C14</f>
        <v>336</v>
      </c>
      <c r="D15" s="53">
        <f>D13-D14</f>
        <v>291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11</v>
      </c>
      <c r="C16" s="53">
        <v>86</v>
      </c>
      <c r="D16" s="53">
        <v>71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47.5</v>
      </c>
      <c r="C17" s="53">
        <v>1066</v>
      </c>
      <c r="D17" s="53">
        <v>813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8</v>
      </c>
      <c r="C18" s="53">
        <v>66</v>
      </c>
      <c r="D18" s="53">
        <v>56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3.18</v>
      </c>
      <c r="D19" s="33">
        <v>3.81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1.7</v>
      </c>
      <c r="D20" s="33">
        <v>1.45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1.4800000000000002</v>
      </c>
      <c r="D21" s="28">
        <f>D19-D20</f>
        <v>2.3600000000000003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28">
        <v>1.59</v>
      </c>
      <c r="D22" s="28">
        <v>1.31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0.05</v>
      </c>
      <c r="C23" s="28">
        <v>0.26</v>
      </c>
      <c r="D23" s="33">
        <v>0.14000000000000001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1.02</v>
      </c>
      <c r="D24" s="53">
        <v>1.07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28">
        <v>8</v>
      </c>
      <c r="D25" s="28">
        <v>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28"/>
      <c r="D26" s="28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28"/>
      <c r="C27" s="33">
        <v>45.07</v>
      </c>
      <c r="D27" s="28">
        <v>49.92</v>
      </c>
      <c r="E27" s="29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28"/>
      <c r="C28" s="54">
        <v>1.69</v>
      </c>
      <c r="D28" s="54">
        <v>1.57</v>
      </c>
      <c r="E28" s="29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28">
        <v>0.5</v>
      </c>
      <c r="C29" s="34">
        <v>9.6999999999999993</v>
      </c>
      <c r="D29" s="34">
        <v>5</v>
      </c>
      <c r="E29" s="29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28">
        <v>0.21</v>
      </c>
      <c r="C30" s="28">
        <v>0.02</v>
      </c>
      <c r="D30" s="28">
        <v>0.02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106</v>
      </c>
      <c r="D31" s="53" t="s">
        <v>113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0.7</v>
      </c>
      <c r="C32" s="28">
        <v>6.97</v>
      </c>
      <c r="D32" s="28">
        <v>1.25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28">
        <v>6</v>
      </c>
      <c r="C34" s="28">
        <v>107</v>
      </c>
      <c r="D34" s="28">
        <v>149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28">
        <v>31</v>
      </c>
      <c r="C35" s="28">
        <v>12</v>
      </c>
      <c r="D35" s="28">
        <v>8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28">
        <v>0.08</v>
      </c>
      <c r="C36" s="33">
        <v>0.1</v>
      </c>
      <c r="D36" s="28">
        <v>0.17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7.9793814432989691</v>
      </c>
      <c r="D37" s="54">
        <f>D14/B14</f>
        <v>6.195876288659794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0.69</v>
      </c>
      <c r="D38" s="53">
        <v>0.35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6.33</v>
      </c>
      <c r="D39" s="53">
        <v>6.9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>
      <c r="A43" s="79" t="s">
        <v>84</v>
      </c>
      <c r="B43" s="106"/>
      <c r="C43" s="107"/>
      <c r="D43" s="107"/>
      <c r="E43" s="107"/>
      <c r="F43" s="107"/>
      <c r="G43" s="107"/>
      <c r="H43" s="107"/>
      <c r="I43" s="108"/>
    </row>
    <row r="44" spans="1:9">
      <c r="A44" s="80"/>
      <c r="B44" s="106"/>
      <c r="C44" s="107"/>
      <c r="D44" s="107"/>
      <c r="E44" s="107"/>
      <c r="F44" s="107"/>
      <c r="G44" s="107"/>
      <c r="H44" s="107"/>
      <c r="I44" s="108"/>
    </row>
    <row r="45" spans="1:9">
      <c r="A45" s="80"/>
      <c r="B45" s="106"/>
      <c r="C45" s="107"/>
      <c r="D45" s="107"/>
      <c r="E45" s="107"/>
      <c r="F45" s="107"/>
      <c r="G45" s="107"/>
      <c r="H45" s="107"/>
      <c r="I45" s="108"/>
    </row>
    <row r="46" spans="1:9">
      <c r="A46" s="80"/>
      <c r="B46" s="106"/>
      <c r="C46" s="107"/>
      <c r="D46" s="107"/>
      <c r="E46" s="107"/>
      <c r="F46" s="107"/>
      <c r="G46" s="107"/>
      <c r="H46" s="107"/>
      <c r="I46" s="108"/>
    </row>
    <row r="47" spans="1:9">
      <c r="A47" s="80"/>
      <c r="B47" s="106"/>
      <c r="C47" s="107"/>
      <c r="D47" s="107"/>
      <c r="E47" s="107"/>
      <c r="F47" s="107"/>
      <c r="G47" s="107"/>
      <c r="H47" s="107"/>
      <c r="I47" s="108"/>
    </row>
    <row r="48" spans="1:9">
      <c r="A48" s="80"/>
      <c r="B48" s="106"/>
      <c r="C48" s="107"/>
      <c r="D48" s="107"/>
      <c r="E48" s="107"/>
      <c r="F48" s="107"/>
      <c r="G48" s="107"/>
      <c r="H48" s="107"/>
      <c r="I48" s="108"/>
    </row>
    <row r="49" spans="1:9">
      <c r="A49" s="80"/>
      <c r="B49" s="109"/>
      <c r="C49" s="110"/>
      <c r="D49" s="110"/>
      <c r="E49" s="110"/>
      <c r="F49" s="110"/>
      <c r="G49" s="110"/>
      <c r="H49" s="110"/>
      <c r="I49" s="111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6183-7642-4143-A27C-E3C359B0E43B}">
  <dimension ref="A1:I51"/>
  <sheetViews>
    <sheetView topLeftCell="A23" zoomScaleNormal="100" workbookViewId="0">
      <selection activeCell="B9" sqref="B9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147</v>
      </c>
      <c r="C4" s="8" t="s">
        <v>151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28">
        <v>8.02</v>
      </c>
      <c r="C9" s="33">
        <v>7.76</v>
      </c>
      <c r="D9" s="33">
        <v>7.56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270</v>
      </c>
      <c r="C10" s="28">
        <v>2100</v>
      </c>
      <c r="D10" s="28">
        <v>1730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205</v>
      </c>
      <c r="C11" s="28">
        <v>1575</v>
      </c>
      <c r="D11" s="28">
        <v>1300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92</v>
      </c>
      <c r="C12" s="28">
        <v>56</v>
      </c>
      <c r="D12" s="28">
        <v>41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146</v>
      </c>
      <c r="C13" s="53">
        <v>1154</v>
      </c>
      <c r="D13" s="53">
        <v>974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94</v>
      </c>
      <c r="C14" s="53">
        <v>786</v>
      </c>
      <c r="D14" s="53">
        <v>642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52</v>
      </c>
      <c r="C15" s="53">
        <f>C13-C14</f>
        <v>368</v>
      </c>
      <c r="D15" s="53">
        <f>D13-D14</f>
        <v>332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12</v>
      </c>
      <c r="C16" s="53">
        <v>82</v>
      </c>
      <c r="D16" s="53">
        <v>62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47.9</v>
      </c>
      <c r="C17" s="53">
        <v>1040</v>
      </c>
      <c r="D17" s="53">
        <v>893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8</v>
      </c>
      <c r="C18" s="53">
        <v>68</v>
      </c>
      <c r="D18" s="53">
        <v>58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3.07</v>
      </c>
      <c r="D19" s="33">
        <v>3.93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1.4</v>
      </c>
      <c r="D20" s="33">
        <v>1.35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1.67</v>
      </c>
      <c r="D21" s="28">
        <f>D19-D20</f>
        <v>2.58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28">
        <v>1.29</v>
      </c>
      <c r="D22" s="33">
        <v>1.2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0.05</v>
      </c>
      <c r="C23" s="28">
        <v>0.17</v>
      </c>
      <c r="D23" s="33">
        <v>0.12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1.03</v>
      </c>
      <c r="D24" s="53">
        <v>1.0900000000000001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28">
        <v>6</v>
      </c>
      <c r="D25" s="28">
        <v>4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28"/>
      <c r="D26" s="28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28"/>
      <c r="C27" s="33">
        <v>45.33</v>
      </c>
      <c r="D27" s="28">
        <v>49.17</v>
      </c>
      <c r="E27" s="29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28"/>
      <c r="C28" s="54">
        <v>1.68</v>
      </c>
      <c r="D28" s="54">
        <v>1.56</v>
      </c>
      <c r="E28" s="29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28">
        <v>0.3</v>
      </c>
      <c r="C29" s="34">
        <v>5.3</v>
      </c>
      <c r="D29" s="34">
        <v>1.3</v>
      </c>
      <c r="E29" s="29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28">
        <v>7.0000000000000007E-2</v>
      </c>
      <c r="C30" s="28">
        <v>0.03</v>
      </c>
      <c r="D30" s="28">
        <v>0.02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107</v>
      </c>
      <c r="D31" s="53" t="s">
        <v>107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1.1499999999999999</v>
      </c>
      <c r="C32" s="28">
        <v>2.95</v>
      </c>
      <c r="D32" s="28">
        <v>1.18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28">
        <v>11</v>
      </c>
      <c r="C34" s="28">
        <v>138</v>
      </c>
      <c r="D34" s="28">
        <v>159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28">
        <v>21</v>
      </c>
      <c r="C35" s="28">
        <v>8</v>
      </c>
      <c r="D35" s="28">
        <v>8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0.06</v>
      </c>
      <c r="C36" s="54">
        <v>0.18</v>
      </c>
      <c r="D36" s="53">
        <v>0.21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8.3617021276595747</v>
      </c>
      <c r="D37" s="54">
        <f>D14/B14</f>
        <v>6.8297872340425529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0.74</v>
      </c>
      <c r="D38" s="53">
        <v>0.28999999999999998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6.27</v>
      </c>
      <c r="D39" s="53">
        <v>6.98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>
      <c r="A43" s="79" t="s">
        <v>84</v>
      </c>
      <c r="B43" s="106"/>
      <c r="C43" s="107"/>
      <c r="D43" s="107"/>
      <c r="E43" s="107"/>
      <c r="F43" s="107"/>
      <c r="G43" s="107"/>
      <c r="H43" s="107"/>
      <c r="I43" s="108"/>
    </row>
    <row r="44" spans="1:9">
      <c r="A44" s="80"/>
      <c r="B44" s="106"/>
      <c r="C44" s="107"/>
      <c r="D44" s="107"/>
      <c r="E44" s="107"/>
      <c r="F44" s="107"/>
      <c r="G44" s="107"/>
      <c r="H44" s="107"/>
      <c r="I44" s="108"/>
    </row>
    <row r="45" spans="1:9">
      <c r="A45" s="80"/>
      <c r="B45" s="106"/>
      <c r="C45" s="107"/>
      <c r="D45" s="107"/>
      <c r="E45" s="107"/>
      <c r="F45" s="107"/>
      <c r="G45" s="107"/>
      <c r="H45" s="107"/>
      <c r="I45" s="108"/>
    </row>
    <row r="46" spans="1:9">
      <c r="A46" s="80"/>
      <c r="B46" s="106"/>
      <c r="C46" s="107"/>
      <c r="D46" s="107"/>
      <c r="E46" s="107"/>
      <c r="F46" s="107"/>
      <c r="G46" s="107"/>
      <c r="H46" s="107"/>
      <c r="I46" s="108"/>
    </row>
    <row r="47" spans="1:9">
      <c r="A47" s="80"/>
      <c r="B47" s="106"/>
      <c r="C47" s="107"/>
      <c r="D47" s="107"/>
      <c r="E47" s="107"/>
      <c r="F47" s="107"/>
      <c r="G47" s="107"/>
      <c r="H47" s="107"/>
      <c r="I47" s="108"/>
    </row>
    <row r="48" spans="1:9">
      <c r="A48" s="80"/>
      <c r="B48" s="106"/>
      <c r="C48" s="107"/>
      <c r="D48" s="107"/>
      <c r="E48" s="107"/>
      <c r="F48" s="107"/>
      <c r="G48" s="107"/>
      <c r="H48" s="107"/>
      <c r="I48" s="108"/>
    </row>
    <row r="49" spans="1:9">
      <c r="A49" s="80"/>
      <c r="B49" s="109"/>
      <c r="C49" s="110"/>
      <c r="D49" s="110"/>
      <c r="E49" s="110"/>
      <c r="F49" s="110"/>
      <c r="G49" s="110"/>
      <c r="H49" s="110"/>
      <c r="I49" s="111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0C3B-AA5D-4104-BA4F-4C19EF84162C}">
  <dimension ref="A1:I51"/>
  <sheetViews>
    <sheetView topLeftCell="A36" zoomScale="118" zoomScaleNormal="118" workbookViewId="0">
      <selection activeCell="E38" sqref="E38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152</v>
      </c>
      <c r="C4" s="8" t="s">
        <v>111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28">
        <v>7.92</v>
      </c>
      <c r="C9" s="33">
        <v>7.9</v>
      </c>
      <c r="D9" s="33">
        <v>7.71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270</v>
      </c>
      <c r="C10" s="28">
        <v>2480</v>
      </c>
      <c r="D10" s="28">
        <v>1940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205</v>
      </c>
      <c r="C11" s="28">
        <v>1860</v>
      </c>
      <c r="D11" s="28">
        <v>1455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97</v>
      </c>
      <c r="C12" s="28">
        <v>69</v>
      </c>
      <c r="D12" s="28">
        <v>62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139</v>
      </c>
      <c r="C13" s="53">
        <v>1336</v>
      </c>
      <c r="D13" s="53">
        <v>1134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96</v>
      </c>
      <c r="C14" s="53">
        <v>938</v>
      </c>
      <c r="D14" s="53">
        <v>748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43</v>
      </c>
      <c r="C15" s="53">
        <f>C13-C14</f>
        <v>398</v>
      </c>
      <c r="D15" s="53">
        <f>D13-D14</f>
        <v>386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12</v>
      </c>
      <c r="C16" s="53">
        <v>94</v>
      </c>
      <c r="D16" s="53">
        <v>68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51.1</v>
      </c>
      <c r="C17" s="53">
        <v>1214</v>
      </c>
      <c r="D17" s="53">
        <v>1067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79</v>
      </c>
      <c r="D18" s="53">
        <v>67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3.67</v>
      </c>
      <c r="D19" s="33">
        <v>4.43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1.7</v>
      </c>
      <c r="D20" s="33">
        <v>1.65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1.97</v>
      </c>
      <c r="D21" s="28">
        <f>D19-D20</f>
        <v>2.78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28">
        <v>1.63</v>
      </c>
      <c r="D22" s="33">
        <v>1.6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0.03</v>
      </c>
      <c r="C23" s="28">
        <v>0.17</v>
      </c>
      <c r="D23" s="33">
        <v>0.13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1.04</v>
      </c>
      <c r="D24" s="53">
        <v>1.1100000000000001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28">
        <v>7</v>
      </c>
      <c r="D25" s="28">
        <v>4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28"/>
      <c r="D26" s="28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28"/>
      <c r="C27" s="33">
        <v>45.9</v>
      </c>
      <c r="D27" s="28">
        <v>50.14</v>
      </c>
      <c r="E27" s="29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28"/>
      <c r="C28" s="54">
        <v>1.63</v>
      </c>
      <c r="D28" s="54">
        <v>1.73</v>
      </c>
      <c r="E28" s="29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28">
        <v>0.5</v>
      </c>
      <c r="C29" s="34">
        <v>8</v>
      </c>
      <c r="D29" s="34">
        <v>1.7</v>
      </c>
      <c r="E29" s="29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28">
        <v>0.04</v>
      </c>
      <c r="C30" s="28">
        <v>0.03</v>
      </c>
      <c r="D30" s="28">
        <v>0.04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153</v>
      </c>
      <c r="D31" s="53" t="s">
        <v>113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0.4</v>
      </c>
      <c r="C32" s="28">
        <v>4.91</v>
      </c>
      <c r="D32" s="28">
        <v>1.1100000000000001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28">
        <v>12</v>
      </c>
      <c r="C34" s="28">
        <v>168</v>
      </c>
      <c r="D34" s="28">
        <v>188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28">
        <v>10</v>
      </c>
      <c r="C35" s="28">
        <v>5</v>
      </c>
      <c r="D35" s="28">
        <v>10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0.08</v>
      </c>
      <c r="C36" s="54">
        <v>0.2</v>
      </c>
      <c r="D36" s="53">
        <v>0.25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9.7708333333333339</v>
      </c>
      <c r="D37" s="54">
        <f>D14/B14</f>
        <v>7.791666666666667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1</v>
      </c>
      <c r="D38" s="53">
        <v>0.66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5.89</v>
      </c>
      <c r="D39" s="53">
        <v>6.4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>
      <c r="A43" s="79" t="s">
        <v>84</v>
      </c>
      <c r="B43" s="106"/>
      <c r="C43" s="107"/>
      <c r="D43" s="107"/>
      <c r="E43" s="107"/>
      <c r="F43" s="107"/>
      <c r="G43" s="107"/>
      <c r="H43" s="107"/>
      <c r="I43" s="108"/>
    </row>
    <row r="44" spans="1:9">
      <c r="A44" s="80"/>
      <c r="B44" s="106"/>
      <c r="C44" s="107"/>
      <c r="D44" s="107"/>
      <c r="E44" s="107"/>
      <c r="F44" s="107"/>
      <c r="G44" s="107"/>
      <c r="H44" s="107"/>
      <c r="I44" s="108"/>
    </row>
    <row r="45" spans="1:9">
      <c r="A45" s="80"/>
      <c r="B45" s="106"/>
      <c r="C45" s="107"/>
      <c r="D45" s="107"/>
      <c r="E45" s="107"/>
      <c r="F45" s="107"/>
      <c r="G45" s="107"/>
      <c r="H45" s="107"/>
      <c r="I45" s="108"/>
    </row>
    <row r="46" spans="1:9">
      <c r="A46" s="80"/>
      <c r="B46" s="106"/>
      <c r="C46" s="107"/>
      <c r="D46" s="107"/>
      <c r="E46" s="107"/>
      <c r="F46" s="107"/>
      <c r="G46" s="107"/>
      <c r="H46" s="107"/>
      <c r="I46" s="108"/>
    </row>
    <row r="47" spans="1:9">
      <c r="A47" s="80"/>
      <c r="B47" s="106"/>
      <c r="C47" s="107"/>
      <c r="D47" s="107"/>
      <c r="E47" s="107"/>
      <c r="F47" s="107"/>
      <c r="G47" s="107"/>
      <c r="H47" s="107"/>
      <c r="I47" s="108"/>
    </row>
    <row r="48" spans="1:9">
      <c r="A48" s="80"/>
      <c r="B48" s="106"/>
      <c r="C48" s="107"/>
      <c r="D48" s="107"/>
      <c r="E48" s="107"/>
      <c r="F48" s="107"/>
      <c r="G48" s="107"/>
      <c r="H48" s="107"/>
      <c r="I48" s="108"/>
    </row>
    <row r="49" spans="1:9">
      <c r="A49" s="80"/>
      <c r="B49" s="109"/>
      <c r="C49" s="110"/>
      <c r="D49" s="110"/>
      <c r="E49" s="110"/>
      <c r="F49" s="110"/>
      <c r="G49" s="110"/>
      <c r="H49" s="110"/>
      <c r="I49" s="111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27BA-29BB-47E7-AA98-F96AA65D20FC}">
  <dimension ref="A1:I51"/>
  <sheetViews>
    <sheetView topLeftCell="A19" zoomScaleNormal="100" workbookViewId="0">
      <selection activeCell="E36" sqref="E36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152</v>
      </c>
      <c r="C4" s="8" t="s">
        <v>154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7.7</v>
      </c>
      <c r="C9" s="33">
        <v>7.9</v>
      </c>
      <c r="D9" s="33">
        <v>7.72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270</v>
      </c>
      <c r="C10" s="28">
        <v>2160</v>
      </c>
      <c r="D10" s="28">
        <v>1970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205</v>
      </c>
      <c r="C11" s="28">
        <v>1620</v>
      </c>
      <c r="D11" s="28">
        <v>1480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95</v>
      </c>
      <c r="C12" s="28">
        <v>73</v>
      </c>
      <c r="D12" s="28">
        <v>69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145</v>
      </c>
      <c r="C13" s="53">
        <v>1182</v>
      </c>
      <c r="D13" s="53">
        <v>1122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96</v>
      </c>
      <c r="C14" s="53">
        <v>816</v>
      </c>
      <c r="D14" s="53">
        <v>766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49</v>
      </c>
      <c r="C15" s="53">
        <f>C13-C14</f>
        <v>366</v>
      </c>
      <c r="D15" s="53">
        <f>D13-D14</f>
        <v>356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11</v>
      </c>
      <c r="C16" s="53">
        <v>91</v>
      </c>
      <c r="D16" s="53">
        <v>79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48.1</v>
      </c>
      <c r="C17" s="53">
        <v>1143</v>
      </c>
      <c r="D17" s="53">
        <v>1093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10</v>
      </c>
      <c r="C18" s="53">
        <v>72</v>
      </c>
      <c r="D18" s="53">
        <v>73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3.66</v>
      </c>
      <c r="D19" s="33">
        <v>4.6100000000000003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1.6</v>
      </c>
      <c r="D20" s="33">
        <v>1.78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2.06</v>
      </c>
      <c r="D21" s="28">
        <f>D19-D20</f>
        <v>2.83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1.5</v>
      </c>
      <c r="D22" s="33">
        <v>1.6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0.05</v>
      </c>
      <c r="C23" s="28">
        <v>0.16</v>
      </c>
      <c r="D23" s="33">
        <v>0.12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1.02</v>
      </c>
      <c r="D24" s="53">
        <v>1.05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28" t="s">
        <v>155</v>
      </c>
      <c r="D25" s="28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28"/>
      <c r="D26" s="28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28"/>
      <c r="C27" s="33">
        <v>45.73</v>
      </c>
      <c r="D27" s="35">
        <v>62.76</v>
      </c>
      <c r="E27" s="29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28"/>
      <c r="C28" s="54">
        <v>1.67</v>
      </c>
      <c r="D28" s="54">
        <v>2.1</v>
      </c>
      <c r="E28" s="29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28">
        <v>0.3</v>
      </c>
      <c r="C29" s="34">
        <v>7</v>
      </c>
      <c r="D29" s="34">
        <v>4</v>
      </c>
      <c r="E29" s="29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33">
        <v>0.1</v>
      </c>
      <c r="C30" s="28">
        <v>0.02</v>
      </c>
      <c r="D30" s="28">
        <v>0.03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107</v>
      </c>
      <c r="D31" s="53" t="s">
        <v>107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0.3</v>
      </c>
      <c r="C32" s="28">
        <v>3.73</v>
      </c>
      <c r="D32" s="28">
        <v>1.55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28">
        <v>7</v>
      </c>
      <c r="C34" s="28">
        <v>212</v>
      </c>
      <c r="D34" s="28">
        <v>223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28">
        <v>24</v>
      </c>
      <c r="C35" s="28">
        <v>11</v>
      </c>
      <c r="D35" s="28">
        <v>6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0.11</v>
      </c>
      <c r="C36" s="54">
        <v>0.28999999999999998</v>
      </c>
      <c r="D36" s="53">
        <v>0.36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8.5</v>
      </c>
      <c r="D37" s="54">
        <f>D14/B14</f>
        <v>7.979166666666667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1.01</v>
      </c>
      <c r="D38" s="53">
        <v>0.76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5.89</v>
      </c>
      <c r="D39" s="54">
        <v>6.2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>
      <c r="A43" s="79" t="s">
        <v>84</v>
      </c>
      <c r="B43" s="100" t="s">
        <v>157</v>
      </c>
      <c r="C43" s="101"/>
      <c r="D43" s="101"/>
      <c r="E43" s="101"/>
      <c r="F43" s="101"/>
      <c r="G43" s="101"/>
      <c r="H43" s="101"/>
      <c r="I43" s="102"/>
    </row>
    <row r="44" spans="1:9">
      <c r="A44" s="80"/>
      <c r="B44" s="100"/>
      <c r="C44" s="101"/>
      <c r="D44" s="101"/>
      <c r="E44" s="101"/>
      <c r="F44" s="101"/>
      <c r="G44" s="101"/>
      <c r="H44" s="101"/>
      <c r="I44" s="102"/>
    </row>
    <row r="45" spans="1:9">
      <c r="A45" s="80"/>
      <c r="B45" s="100"/>
      <c r="C45" s="101"/>
      <c r="D45" s="101"/>
      <c r="E45" s="101"/>
      <c r="F45" s="101"/>
      <c r="G45" s="101"/>
      <c r="H45" s="101"/>
      <c r="I45" s="102"/>
    </row>
    <row r="46" spans="1:9">
      <c r="A46" s="80"/>
      <c r="B46" s="100"/>
      <c r="C46" s="101"/>
      <c r="D46" s="101"/>
      <c r="E46" s="101"/>
      <c r="F46" s="101"/>
      <c r="G46" s="101"/>
      <c r="H46" s="101"/>
      <c r="I46" s="102"/>
    </row>
    <row r="47" spans="1:9">
      <c r="A47" s="80"/>
      <c r="B47" s="100"/>
      <c r="C47" s="101"/>
      <c r="D47" s="101"/>
      <c r="E47" s="101"/>
      <c r="F47" s="101"/>
      <c r="G47" s="101"/>
      <c r="H47" s="101"/>
      <c r="I47" s="102"/>
    </row>
    <row r="48" spans="1:9">
      <c r="A48" s="80"/>
      <c r="B48" s="100"/>
      <c r="C48" s="101"/>
      <c r="D48" s="101"/>
      <c r="E48" s="101"/>
      <c r="F48" s="101"/>
      <c r="G48" s="101"/>
      <c r="H48" s="101"/>
      <c r="I48" s="102"/>
    </row>
    <row r="49" spans="1:9">
      <c r="A49" s="80"/>
      <c r="B49" s="103"/>
      <c r="C49" s="104"/>
      <c r="D49" s="104"/>
      <c r="E49" s="104"/>
      <c r="F49" s="104"/>
      <c r="G49" s="104"/>
      <c r="H49" s="104"/>
      <c r="I49" s="105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B840-24B1-40B7-8DE4-61A0F161E8A3}">
  <dimension ref="A1:I51"/>
  <sheetViews>
    <sheetView topLeftCell="A18" zoomScale="98" zoomScaleNormal="98" workbookViewId="0">
      <selection activeCell="B43" sqref="B43:I49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152</v>
      </c>
      <c r="C4" s="8" t="s">
        <v>156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7.93</v>
      </c>
      <c r="C9" s="33">
        <v>7.7</v>
      </c>
      <c r="D9" s="33">
        <v>7.83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270</v>
      </c>
      <c r="C10" s="28">
        <v>2170</v>
      </c>
      <c r="D10" s="28">
        <v>1970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205</v>
      </c>
      <c r="C11" s="28">
        <v>1630</v>
      </c>
      <c r="D11" s="28">
        <v>1480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99</v>
      </c>
      <c r="C12" s="28">
        <v>60</v>
      </c>
      <c r="D12" s="28">
        <v>70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139</v>
      </c>
      <c r="C13" s="53">
        <v>1192</v>
      </c>
      <c r="D13" s="53">
        <v>1104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95</v>
      </c>
      <c r="C14" s="53">
        <v>820</v>
      </c>
      <c r="D14" s="53">
        <v>762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44</v>
      </c>
      <c r="C15" s="53">
        <f>C13-C14</f>
        <v>372</v>
      </c>
      <c r="D15" s="53">
        <f>D13-D14</f>
        <v>342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12</v>
      </c>
      <c r="C16" s="53">
        <v>88</v>
      </c>
      <c r="D16" s="53">
        <v>76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45.7</v>
      </c>
      <c r="C17" s="53">
        <v>1113</v>
      </c>
      <c r="D17" s="53">
        <v>1018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72</v>
      </c>
      <c r="D18" s="53">
        <v>68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3.21</v>
      </c>
      <c r="D19" s="33">
        <v>3.93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1.34</v>
      </c>
      <c r="D20" s="33">
        <v>1.48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1.8699999999999999</v>
      </c>
      <c r="D21" s="28">
        <f>D19-D20</f>
        <v>2.4500000000000002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28">
        <v>1.29</v>
      </c>
      <c r="D22" s="33">
        <v>1.33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0.05</v>
      </c>
      <c r="C23" s="28">
        <v>0.15</v>
      </c>
      <c r="D23" s="33">
        <v>0.12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1.01</v>
      </c>
      <c r="D24" s="53">
        <v>1.04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28" t="s">
        <v>155</v>
      </c>
      <c r="D25" s="28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28"/>
      <c r="D26" s="28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28"/>
      <c r="C27" s="33">
        <v>46.01</v>
      </c>
      <c r="D27" s="59">
        <v>60.64</v>
      </c>
      <c r="E27" s="29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28"/>
      <c r="C28" s="54">
        <v>1.6</v>
      </c>
      <c r="D28" s="54">
        <v>2.08</v>
      </c>
      <c r="E28" s="29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3">
        <v>0.1</v>
      </c>
      <c r="C29" s="58">
        <v>9</v>
      </c>
      <c r="D29" s="58">
        <v>4</v>
      </c>
      <c r="E29" s="29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33">
        <v>0.09</v>
      </c>
      <c r="C30" s="28">
        <v>0.03</v>
      </c>
      <c r="D30" s="28">
        <v>0.03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113</v>
      </c>
      <c r="D31" s="53" t="s">
        <v>107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0.45</v>
      </c>
      <c r="C32" s="28">
        <v>2.65</v>
      </c>
      <c r="D32" s="28">
        <v>0.82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4</v>
      </c>
      <c r="C34" s="53">
        <v>294</v>
      </c>
      <c r="D34" s="53">
        <v>272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29</v>
      </c>
      <c r="C35" s="53">
        <v>5</v>
      </c>
      <c r="D35" s="53">
        <v>7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0.04</v>
      </c>
      <c r="C36" s="54">
        <v>0.19</v>
      </c>
      <c r="D36" s="53">
        <v>0.22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8.6315789473684212</v>
      </c>
      <c r="D37" s="54">
        <f>D14/B14</f>
        <v>8.0210526315789465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0.73</v>
      </c>
      <c r="D38" s="53">
        <v>0.86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6.24</v>
      </c>
      <c r="D39" s="54">
        <v>6.11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>
      <c r="A43" s="79" t="s">
        <v>84</v>
      </c>
      <c r="B43" s="84" t="s">
        <v>158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17A7-3A3E-4CF6-B6AC-4EF3093F8E60}">
  <dimension ref="A1:I51"/>
  <sheetViews>
    <sheetView zoomScale="98" zoomScaleNormal="98" workbookViewId="0">
      <selection activeCell="A4" sqref="A4:C4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152</v>
      </c>
      <c r="C4" s="8" t="s">
        <v>159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7.98</v>
      </c>
      <c r="C9" s="33">
        <v>7.65</v>
      </c>
      <c r="D9" s="33">
        <v>7.69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270</v>
      </c>
      <c r="C10" s="28">
        <v>2120</v>
      </c>
      <c r="D10" s="28">
        <v>2020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205</v>
      </c>
      <c r="C11" s="28">
        <v>1590</v>
      </c>
      <c r="D11" s="28">
        <v>1515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101</v>
      </c>
      <c r="C12" s="28">
        <v>59</v>
      </c>
      <c r="D12" s="28">
        <v>58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131</v>
      </c>
      <c r="C13" s="53">
        <v>1180</v>
      </c>
      <c r="D13" s="53">
        <v>1124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90</v>
      </c>
      <c r="C14" s="53">
        <v>798</v>
      </c>
      <c r="D14" s="53">
        <v>778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41</v>
      </c>
      <c r="C15" s="53">
        <f>C13-C14</f>
        <v>382</v>
      </c>
      <c r="D15" s="53">
        <f>D13-D14</f>
        <v>346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13</v>
      </c>
      <c r="C16" s="53">
        <v>85</v>
      </c>
      <c r="D16" s="53">
        <v>80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46.7</v>
      </c>
      <c r="C17" s="53">
        <v>1076</v>
      </c>
      <c r="D17" s="53">
        <v>1076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10</v>
      </c>
      <c r="C18" s="53">
        <v>71</v>
      </c>
      <c r="D18" s="53">
        <v>70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3.42</v>
      </c>
      <c r="D19" s="33">
        <v>3.87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1.52</v>
      </c>
      <c r="D20" s="33">
        <v>1.6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1.9</v>
      </c>
      <c r="D21" s="28">
        <f>D19-D20</f>
        <v>2.27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28">
        <v>1.46</v>
      </c>
      <c r="D22" s="33">
        <v>1.41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7.0000000000000007E-2</v>
      </c>
      <c r="C23" s="28">
        <v>0.17</v>
      </c>
      <c r="D23" s="33">
        <v>0.13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1.03</v>
      </c>
      <c r="D24" s="53">
        <v>1.06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28" t="s">
        <v>155</v>
      </c>
      <c r="D25" s="28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28"/>
      <c r="D26" s="28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46.41</v>
      </c>
      <c r="D27" s="53">
        <v>52.77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1.59</v>
      </c>
      <c r="D28" s="54">
        <v>2.0299999999999998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3">
        <v>0.1</v>
      </c>
      <c r="C29" s="61">
        <v>11.7</v>
      </c>
      <c r="D29" s="58">
        <v>6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33">
        <v>0.02</v>
      </c>
      <c r="C30" s="28">
        <v>0.03</v>
      </c>
      <c r="D30" s="28">
        <v>0.04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107</v>
      </c>
      <c r="D31" s="53" t="s">
        <v>107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0.33</v>
      </c>
      <c r="C32" s="28">
        <v>3.86</v>
      </c>
      <c r="D32" s="28">
        <v>1.65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10</v>
      </c>
      <c r="C34" s="53">
        <v>272</v>
      </c>
      <c r="D34" s="53">
        <v>304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12</v>
      </c>
      <c r="C35" s="53">
        <v>5</v>
      </c>
      <c r="D35" s="53">
        <v>10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0.02</v>
      </c>
      <c r="C36" s="54">
        <v>0.15</v>
      </c>
      <c r="D36" s="53">
        <v>0.21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8.8666666666666671</v>
      </c>
      <c r="D37" s="54">
        <f>D14/B14</f>
        <v>8.6444444444444439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0.62</v>
      </c>
      <c r="D38" s="53">
        <v>0.6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6.41</v>
      </c>
      <c r="D39" s="54">
        <v>6.48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28"/>
      <c r="D40" s="28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>
      <c r="A43" s="79" t="s">
        <v>84</v>
      </c>
      <c r="B43" s="84" t="s">
        <v>160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16B3-2E8B-43AD-AEA9-B861CC5F324E}">
  <dimension ref="A1:I51"/>
  <sheetViews>
    <sheetView topLeftCell="A7" zoomScale="98" zoomScaleNormal="98" workbookViewId="0">
      <selection activeCell="B9" sqref="B9:I49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161</v>
      </c>
      <c r="C4" s="8" t="s">
        <v>5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7.84</v>
      </c>
      <c r="C9" s="33">
        <v>7.62</v>
      </c>
      <c r="D9" s="33">
        <v>7.7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280</v>
      </c>
      <c r="C10" s="28">
        <v>2080</v>
      </c>
      <c r="D10" s="28">
        <v>1980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210</v>
      </c>
      <c r="C11" s="28">
        <v>1560</v>
      </c>
      <c r="D11" s="28">
        <v>1485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102</v>
      </c>
      <c r="C12" s="28">
        <v>55</v>
      </c>
      <c r="D12" s="28">
        <v>60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134</v>
      </c>
      <c r="C13" s="53">
        <v>1174</v>
      </c>
      <c r="D13" s="53">
        <v>1090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92</v>
      </c>
      <c r="C14" s="53">
        <v>756</v>
      </c>
      <c r="D14" s="53">
        <v>728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42</v>
      </c>
      <c r="C15" s="53">
        <f>C13-C14</f>
        <v>418</v>
      </c>
      <c r="D15" s="53">
        <f>D13-D14</f>
        <v>362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14</v>
      </c>
      <c r="C16" s="53">
        <v>85</v>
      </c>
      <c r="D16" s="53">
        <v>78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48.4</v>
      </c>
      <c r="C17" s="53">
        <v>1072</v>
      </c>
      <c r="D17" s="53">
        <v>1017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10</v>
      </c>
      <c r="C18" s="53">
        <v>72</v>
      </c>
      <c r="D18" s="53">
        <v>70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3.51</v>
      </c>
      <c r="D19" s="33">
        <v>4.0199999999999996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1.6</v>
      </c>
      <c r="D20" s="33">
        <v>1.71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1.9099999999999997</v>
      </c>
      <c r="D21" s="28">
        <f>D19-D20</f>
        <v>2.3099999999999996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28">
        <v>1.52</v>
      </c>
      <c r="D22" s="33">
        <v>1.42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0.03</v>
      </c>
      <c r="C23" s="28">
        <v>0.13</v>
      </c>
      <c r="D23" s="33">
        <v>0.33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</v>
      </c>
      <c r="D24" s="53">
        <v>1.03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28"/>
      <c r="D26" s="28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45.17</v>
      </c>
      <c r="D27" s="53">
        <v>50.75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1.51</v>
      </c>
      <c r="D28" s="54">
        <v>1.8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3">
        <v>0.1</v>
      </c>
      <c r="C29" s="58">
        <v>3.3</v>
      </c>
      <c r="D29" s="58">
        <v>9.3000000000000007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33">
        <v>0.03</v>
      </c>
      <c r="C30" s="28">
        <v>0.04</v>
      </c>
      <c r="D30" s="28">
        <v>0.06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107</v>
      </c>
      <c r="D31" s="53" t="s">
        <v>104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0.22</v>
      </c>
      <c r="C32" s="28">
        <v>1.92</v>
      </c>
      <c r="D32" s="28">
        <v>6.47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18</v>
      </c>
      <c r="C34" s="53">
        <v>282</v>
      </c>
      <c r="D34" s="53">
        <v>336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15</v>
      </c>
      <c r="C35" s="53">
        <v>7</v>
      </c>
      <c r="D35" s="53">
        <v>4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0.01</v>
      </c>
      <c r="C36" s="54">
        <v>0.24</v>
      </c>
      <c r="D36" s="53">
        <v>0.18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8.2173913043478262</v>
      </c>
      <c r="D37" s="54">
        <f>D14/B14</f>
        <v>7.9130434782608692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0.56000000000000005</v>
      </c>
      <c r="D38" s="53">
        <v>0.64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6.51</v>
      </c>
      <c r="D39" s="54">
        <v>6.42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>
      <c r="A43" s="79" t="s">
        <v>84</v>
      </c>
      <c r="B43" s="84" t="s">
        <v>162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CF5C-1F8D-45B1-809D-B4E6ACE2ECF4}">
  <dimension ref="A1:I51"/>
  <sheetViews>
    <sheetView zoomScale="98" zoomScaleNormal="98" workbookViewId="0">
      <selection activeCell="B9" sqref="B9:D39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161</v>
      </c>
      <c r="C4" s="8" t="s">
        <v>141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7.9</v>
      </c>
      <c r="C9" s="33">
        <v>7.5</v>
      </c>
      <c r="D9" s="33">
        <v>7.74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280</v>
      </c>
      <c r="C10" s="28">
        <v>2000</v>
      </c>
      <c r="D10" s="28">
        <v>1570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210</v>
      </c>
      <c r="C11" s="28">
        <v>1500</v>
      </c>
      <c r="D11" s="28">
        <v>1180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100</v>
      </c>
      <c r="C12" s="28">
        <v>51</v>
      </c>
      <c r="D12" s="28">
        <v>66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139</v>
      </c>
      <c r="C13" s="53">
        <v>1104</v>
      </c>
      <c r="D13" s="53">
        <v>874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95</v>
      </c>
      <c r="C14" s="53">
        <v>710</v>
      </c>
      <c r="D14" s="53">
        <v>562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44</v>
      </c>
      <c r="C15" s="53">
        <f>C13-C14</f>
        <v>394</v>
      </c>
      <c r="D15" s="53">
        <f>D13-D14</f>
        <v>312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12</v>
      </c>
      <c r="C16" s="53">
        <v>76</v>
      </c>
      <c r="D16" s="53">
        <v>66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52.3</v>
      </c>
      <c r="C17" s="53">
        <v>1004</v>
      </c>
      <c r="D17" s="53">
        <v>762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8</v>
      </c>
      <c r="C18" s="53">
        <v>65</v>
      </c>
      <c r="D18" s="53">
        <v>51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3.26</v>
      </c>
      <c r="D19" s="33">
        <v>3.28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1.5</v>
      </c>
      <c r="D20" s="33">
        <v>1.21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1.7599999999999998</v>
      </c>
      <c r="D21" s="28">
        <f>D19-D20</f>
        <v>2.0699999999999998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28">
        <v>1.46</v>
      </c>
      <c r="D22" s="33">
        <v>1.06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0.06</v>
      </c>
      <c r="C23" s="28">
        <v>0.14000000000000001</v>
      </c>
      <c r="D23" s="33">
        <v>0.16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1.01</v>
      </c>
      <c r="D24" s="54">
        <v>1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28"/>
      <c r="D26" s="28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45.12</v>
      </c>
      <c r="D27" s="53">
        <v>54.67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1.57</v>
      </c>
      <c r="D28" s="54">
        <v>2.04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3">
        <v>0.1</v>
      </c>
      <c r="C29" s="58">
        <v>4</v>
      </c>
      <c r="D29" s="58">
        <v>3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33">
        <v>0.03</v>
      </c>
      <c r="C30" s="28">
        <v>0.04</v>
      </c>
      <c r="D30" s="28">
        <v>0.04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107</v>
      </c>
      <c r="D31" s="53" t="s">
        <v>107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0.47</v>
      </c>
      <c r="C32" s="28">
        <v>2.02</v>
      </c>
      <c r="D32" s="28">
        <v>2.16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18</v>
      </c>
      <c r="C34" s="53">
        <v>170</v>
      </c>
      <c r="D34" s="53">
        <v>173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28</v>
      </c>
      <c r="C35" s="53">
        <v>2</v>
      </c>
      <c r="D35" s="53">
        <v>4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0.01</v>
      </c>
      <c r="C36" s="54">
        <v>0.2</v>
      </c>
      <c r="D36" s="53">
        <v>0.19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7.4736842105263159</v>
      </c>
      <c r="D37" s="54">
        <f>D14/B14</f>
        <v>5.9157894736842103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0.36</v>
      </c>
      <c r="D38" s="53">
        <v>0.59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6.78</v>
      </c>
      <c r="D39" s="54">
        <v>6.56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>
      <c r="A43" s="79" t="s">
        <v>84</v>
      </c>
      <c r="B43" s="112" t="s">
        <v>163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765AB-2720-4431-9469-029A8F5D01C8}">
  <dimension ref="A1:I51"/>
  <sheetViews>
    <sheetView zoomScale="98" zoomScaleNormal="98" workbookViewId="0">
      <selection activeCell="B9" sqref="B9:I49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161</v>
      </c>
      <c r="C4" s="8" t="s">
        <v>144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7.95</v>
      </c>
      <c r="C9" s="33">
        <v>7.74</v>
      </c>
      <c r="D9" s="33">
        <v>7.61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280</v>
      </c>
      <c r="C10" s="28">
        <v>2050</v>
      </c>
      <c r="D10" s="28">
        <v>2000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210</v>
      </c>
      <c r="C11" s="28">
        <v>1535</v>
      </c>
      <c r="D11" s="28">
        <v>1500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106</v>
      </c>
      <c r="C12" s="28">
        <v>58</v>
      </c>
      <c r="D12" s="28">
        <v>64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144</v>
      </c>
      <c r="C13" s="53">
        <v>1126</v>
      </c>
      <c r="D13" s="53">
        <v>1108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93</v>
      </c>
      <c r="C14" s="53">
        <v>742</v>
      </c>
      <c r="D14" s="53">
        <v>728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51</v>
      </c>
      <c r="C15" s="53">
        <f>C13-C14</f>
        <v>384</v>
      </c>
      <c r="D15" s="53">
        <f>D13-D14</f>
        <v>380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10</v>
      </c>
      <c r="C16" s="53">
        <v>74</v>
      </c>
      <c r="D16" s="53">
        <v>79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53.1</v>
      </c>
      <c r="C17" s="53">
        <v>982</v>
      </c>
      <c r="D17" s="53">
        <v>995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8</v>
      </c>
      <c r="C18" s="53">
        <v>62</v>
      </c>
      <c r="D18" s="53">
        <v>62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3.21</v>
      </c>
      <c r="D19" s="33">
        <v>3.77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1.5</v>
      </c>
      <c r="D20" s="33">
        <v>1.65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1.71</v>
      </c>
      <c r="D21" s="28">
        <f>D19-D20</f>
        <v>2.12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28">
        <v>1.39</v>
      </c>
      <c r="D22" s="33">
        <v>1.57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7.0000000000000007E-2</v>
      </c>
      <c r="C23" s="28">
        <v>0.18</v>
      </c>
      <c r="D23" s="33">
        <v>0.22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1.01</v>
      </c>
      <c r="D24" s="54">
        <v>1.06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28"/>
      <c r="D26" s="28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45.12</v>
      </c>
      <c r="D27" s="53">
        <v>54.17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1.52</v>
      </c>
      <c r="D28" s="54">
        <v>2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3">
        <v>0.1</v>
      </c>
      <c r="C29" s="58">
        <v>4.3</v>
      </c>
      <c r="D29" s="58">
        <v>8.8000000000000007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33">
        <v>0.02</v>
      </c>
      <c r="C30" s="28">
        <v>0.04</v>
      </c>
      <c r="D30" s="28">
        <v>0.03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107</v>
      </c>
      <c r="D31" s="53" t="s">
        <v>107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0.46</v>
      </c>
      <c r="C32" s="28">
        <v>2.2999999999999998</v>
      </c>
      <c r="D32" s="28">
        <v>1.75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11</v>
      </c>
      <c r="C34" s="53">
        <v>230</v>
      </c>
      <c r="D34" s="53">
        <v>320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31</v>
      </c>
      <c r="C35" s="53">
        <v>7</v>
      </c>
      <c r="D35" s="53">
        <v>2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0.04</v>
      </c>
      <c r="C36" s="54">
        <v>0.28999999999999998</v>
      </c>
      <c r="D36" s="53">
        <v>0.41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7.978494623655914</v>
      </c>
      <c r="D37" s="54">
        <f>D14/B14</f>
        <v>7.827956989247312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0.71</v>
      </c>
      <c r="D38" s="53">
        <v>0.59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6.31</v>
      </c>
      <c r="D39" s="54">
        <v>6.44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84" t="s">
        <v>162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CAB6-EB6A-47C1-8993-5FDCACF86178}">
  <dimension ref="A1:I51"/>
  <sheetViews>
    <sheetView zoomScale="98" zoomScaleNormal="98" workbookViewId="0">
      <selection activeCell="B9" sqref="B9:I49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161</v>
      </c>
      <c r="C4" s="8" t="s">
        <v>146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7.9</v>
      </c>
      <c r="C9" s="33">
        <v>7.5</v>
      </c>
      <c r="D9" s="33">
        <v>7.61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280</v>
      </c>
      <c r="C10" s="28">
        <v>2020</v>
      </c>
      <c r="D10" s="28">
        <v>2010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210</v>
      </c>
      <c r="C11" s="28">
        <v>1515</v>
      </c>
      <c r="D11" s="28">
        <v>1510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111</v>
      </c>
      <c r="C12" s="28">
        <v>48</v>
      </c>
      <c r="D12" s="28">
        <v>58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142</v>
      </c>
      <c r="C13" s="53">
        <v>1096</v>
      </c>
      <c r="D13" s="53">
        <v>1112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90</v>
      </c>
      <c r="C14" s="53">
        <v>724</v>
      </c>
      <c r="D14" s="53">
        <v>724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52</v>
      </c>
      <c r="C15" s="53">
        <f>C13-C14</f>
        <v>372</v>
      </c>
      <c r="D15" s="53">
        <f>D13-D14</f>
        <v>388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9</v>
      </c>
      <c r="C16" s="53">
        <v>73</v>
      </c>
      <c r="D16" s="53">
        <v>75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52.4</v>
      </c>
      <c r="C17" s="53">
        <v>1028</v>
      </c>
      <c r="D17" s="53">
        <v>1028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8</v>
      </c>
      <c r="C18" s="53">
        <v>60</v>
      </c>
      <c r="D18" s="53">
        <v>63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2.93</v>
      </c>
      <c r="D19" s="33">
        <v>3.32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1.59</v>
      </c>
      <c r="D20" s="33">
        <v>1.65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1.34</v>
      </c>
      <c r="D21" s="28">
        <f>D19-D20</f>
        <v>1.67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1.5</v>
      </c>
      <c r="D22" s="33">
        <v>1.53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0.06</v>
      </c>
      <c r="C23" s="28">
        <v>0.19</v>
      </c>
      <c r="D23" s="33">
        <v>0.16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</v>
      </c>
      <c r="D24" s="54">
        <v>1.05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45.15</v>
      </c>
      <c r="D27" s="53">
        <v>52.86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</v>
      </c>
      <c r="D28" s="54">
        <v>2.1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3">
        <v>0.1</v>
      </c>
      <c r="C29" s="58">
        <v>9</v>
      </c>
      <c r="D29" s="58">
        <v>8.3000000000000007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33">
        <v>0.04</v>
      </c>
      <c r="C30" s="28">
        <v>0.05</v>
      </c>
      <c r="D30" s="28">
        <v>0.02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153</v>
      </c>
      <c r="D31" s="53" t="s">
        <v>113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0.56000000000000005</v>
      </c>
      <c r="C32" s="28">
        <v>1.67</v>
      </c>
      <c r="D32" s="28">
        <v>1.06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40</v>
      </c>
      <c r="C34" s="53">
        <v>290</v>
      </c>
      <c r="D34" s="53">
        <v>400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31</v>
      </c>
      <c r="C35" s="53">
        <v>4</v>
      </c>
      <c r="D35" s="53">
        <v>1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0.04</v>
      </c>
      <c r="C36" s="54">
        <v>0.16</v>
      </c>
      <c r="D36" s="53">
        <v>0.16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8.0444444444444443</v>
      </c>
      <c r="D37" s="54">
        <f>D14/B14</f>
        <v>8.0444444444444443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0.34</v>
      </c>
      <c r="D38" s="53">
        <v>0.54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6.81</v>
      </c>
      <c r="D39" s="54">
        <v>6.53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84" t="s">
        <v>164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16E1-D515-430E-80D6-FC988E0FC6F9}">
  <dimension ref="A1:I51"/>
  <sheetViews>
    <sheetView topLeftCell="A27" zoomScale="98" zoomScaleNormal="98" workbookViewId="0">
      <selection activeCell="B43" sqref="B43:I49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3</v>
      </c>
      <c r="B4" s="8" t="s">
        <v>161</v>
      </c>
      <c r="C4" s="8" t="s">
        <v>97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7.78</v>
      </c>
      <c r="C9" s="33">
        <v>7.61</v>
      </c>
      <c r="D9" s="33">
        <v>7.65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280</v>
      </c>
      <c r="C10" s="28">
        <v>2110</v>
      </c>
      <c r="D10" s="28">
        <v>2120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210</v>
      </c>
      <c r="C11" s="28">
        <v>1585</v>
      </c>
      <c r="D11" s="28">
        <v>1590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105</v>
      </c>
      <c r="C12" s="28">
        <v>53</v>
      </c>
      <c r="D12" s="28">
        <v>55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144</v>
      </c>
      <c r="C13" s="53">
        <v>1142</v>
      </c>
      <c r="D13" s="53">
        <v>1182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93</v>
      </c>
      <c r="C14" s="53">
        <v>764</v>
      </c>
      <c r="D14" s="53">
        <v>771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51</v>
      </c>
      <c r="C15" s="53">
        <f>C13-C14</f>
        <v>378</v>
      </c>
      <c r="D15" s="53">
        <f>D13-D14</f>
        <v>411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10</v>
      </c>
      <c r="C16" s="53">
        <v>63</v>
      </c>
      <c r="D16" s="53">
        <v>66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52.7</v>
      </c>
      <c r="C17" s="53">
        <v>1075</v>
      </c>
      <c r="D17" s="53">
        <v>1146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61</v>
      </c>
      <c r="D18" s="53">
        <v>65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2.8</v>
      </c>
      <c r="D19" s="33">
        <v>3.19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1.6</v>
      </c>
      <c r="D20" s="33">
        <v>1.43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1.1999999999999997</v>
      </c>
      <c r="D21" s="28">
        <f>D19-D20</f>
        <v>1.76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1.54</v>
      </c>
      <c r="D22" s="33">
        <v>1.35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0.13</v>
      </c>
      <c r="C23" s="28">
        <v>0.14000000000000001</v>
      </c>
      <c r="D23" s="33">
        <v>0.17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62">
        <v>0.9</v>
      </c>
      <c r="D24" s="54">
        <v>1.02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45.4</v>
      </c>
      <c r="D27" s="53">
        <v>49.69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62">
        <v>1.33</v>
      </c>
      <c r="D28" s="54">
        <v>1.75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3">
        <v>0.1</v>
      </c>
      <c r="C29" s="58">
        <v>4.7</v>
      </c>
      <c r="D29" s="58">
        <v>8.6999999999999993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33">
        <v>0.02</v>
      </c>
      <c r="C30" s="28">
        <v>0.02</v>
      </c>
      <c r="D30" s="28">
        <v>0.04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107</v>
      </c>
      <c r="D31" s="53" t="s">
        <v>93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0.82</v>
      </c>
      <c r="C32" s="28">
        <v>1.05</v>
      </c>
      <c r="D32" s="28">
        <v>1.83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23</v>
      </c>
      <c r="C34" s="53">
        <v>330</v>
      </c>
      <c r="D34" s="53">
        <v>400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22</v>
      </c>
      <c r="C35" s="53">
        <v>8</v>
      </c>
      <c r="D35" s="53">
        <v>8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0.01</v>
      </c>
      <c r="C36" s="54">
        <v>0.12</v>
      </c>
      <c r="D36" s="53">
        <v>0.15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8.21505376344086</v>
      </c>
      <c r="D37" s="54">
        <f>D14/B14</f>
        <v>8.2903225806451619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0.54</v>
      </c>
      <c r="D38" s="53">
        <v>0.61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6.54</v>
      </c>
      <c r="D39" s="54">
        <v>6.43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84" t="s">
        <v>165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E2E8-F5F5-4014-8699-990F3947FC23}">
  <dimension ref="A1:I51"/>
  <sheetViews>
    <sheetView zoomScale="98" zoomScaleNormal="98" workbookViewId="0">
      <selection activeCell="E41" sqref="E41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167</v>
      </c>
      <c r="C4" s="8" t="s">
        <v>168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7.8</v>
      </c>
      <c r="C9" s="33">
        <v>7.63</v>
      </c>
      <c r="D9" s="33">
        <v>7.63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280</v>
      </c>
      <c r="C10" s="28">
        <v>2130</v>
      </c>
      <c r="D10" s="28">
        <v>2130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210</v>
      </c>
      <c r="C11" s="28">
        <v>1600</v>
      </c>
      <c r="D11" s="28">
        <v>1600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109</v>
      </c>
      <c r="C12" s="28">
        <v>56</v>
      </c>
      <c r="D12" s="28">
        <v>58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146</v>
      </c>
      <c r="C13" s="53">
        <v>1172</v>
      </c>
      <c r="D13" s="53">
        <v>1200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94</v>
      </c>
      <c r="C14" s="53">
        <v>782</v>
      </c>
      <c r="D14" s="53">
        <v>791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52</v>
      </c>
      <c r="C15" s="53">
        <f>C13-C14</f>
        <v>390</v>
      </c>
      <c r="D15" s="53">
        <f>D13-D14</f>
        <v>409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11</v>
      </c>
      <c r="C16" s="53">
        <v>73</v>
      </c>
      <c r="D16" s="53">
        <v>75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52.1</v>
      </c>
      <c r="C17" s="53">
        <v>1130</v>
      </c>
      <c r="D17" s="53">
        <v>1177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10</v>
      </c>
      <c r="C18" s="53">
        <v>58</v>
      </c>
      <c r="D18" s="53">
        <v>64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3.31</v>
      </c>
      <c r="D19" s="33">
        <v>2.94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1.7</v>
      </c>
      <c r="D20" s="33">
        <v>1.33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1.61</v>
      </c>
      <c r="D21" s="28">
        <f>D19-D20</f>
        <v>1.6099999999999999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1.58</v>
      </c>
      <c r="D22" s="33">
        <v>1.1599999999999999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7.0000000000000007E-2</v>
      </c>
      <c r="C23" s="28">
        <v>0.26</v>
      </c>
      <c r="D23" s="33">
        <v>0.12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62">
        <v>0.95</v>
      </c>
      <c r="D24" s="54">
        <v>1.01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47.77</v>
      </c>
      <c r="D27" s="53">
        <v>45.54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1.51</v>
      </c>
      <c r="D28" s="54">
        <v>1.63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3">
        <v>0.1</v>
      </c>
      <c r="C29" s="58">
        <v>5.7</v>
      </c>
      <c r="D29" s="58">
        <v>5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33">
        <v>0.02</v>
      </c>
      <c r="C30" s="28">
        <v>0.04</v>
      </c>
      <c r="D30" s="28">
        <v>0.04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107</v>
      </c>
      <c r="D31" s="53" t="s">
        <v>107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0.18</v>
      </c>
      <c r="C32" s="28">
        <v>6.1</v>
      </c>
      <c r="D32" s="28">
        <v>1.63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60</v>
      </c>
      <c r="C34" s="53">
        <v>270</v>
      </c>
      <c r="D34" s="53">
        <v>390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22</v>
      </c>
      <c r="C35" s="53">
        <v>11</v>
      </c>
      <c r="D35" s="53">
        <v>6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0.03</v>
      </c>
      <c r="C36" s="54">
        <v>0.17</v>
      </c>
      <c r="D36" s="53">
        <v>0.13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8.3191489361702136</v>
      </c>
      <c r="D37" s="54">
        <f>D14/B14</f>
        <v>8.414893617021276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0.54</v>
      </c>
      <c r="D38" s="53">
        <v>0.6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6.54</v>
      </c>
      <c r="D39" s="54">
        <v>6.43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84" t="s">
        <v>169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BA5C-4BC2-4C94-A7F3-B90ADD248CC4}">
  <dimension ref="A1:I51"/>
  <sheetViews>
    <sheetView zoomScale="98" zoomScaleNormal="98" workbookViewId="0">
      <selection activeCell="P8" sqref="P8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167</v>
      </c>
      <c r="C4" s="8" t="s">
        <v>170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7.85</v>
      </c>
      <c r="C9" s="33">
        <v>7.62</v>
      </c>
      <c r="D9" s="33">
        <v>7.65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290</v>
      </c>
      <c r="C10" s="28">
        <v>2130</v>
      </c>
      <c r="D10" s="28">
        <v>2100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220</v>
      </c>
      <c r="C11" s="28">
        <v>1595</v>
      </c>
      <c r="D11" s="28">
        <v>1575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107</v>
      </c>
      <c r="C12" s="28">
        <v>55</v>
      </c>
      <c r="D12" s="28">
        <v>53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151</v>
      </c>
      <c r="C13" s="53">
        <v>1200</v>
      </c>
      <c r="D13" s="53">
        <v>1232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94</v>
      </c>
      <c r="C14" s="53">
        <v>754</v>
      </c>
      <c r="D14" s="53">
        <v>778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57</v>
      </c>
      <c r="C15" s="53">
        <f>C13-C14</f>
        <v>446</v>
      </c>
      <c r="D15" s="53">
        <f>D13-D14</f>
        <v>454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12</v>
      </c>
      <c r="C16" s="53">
        <v>86</v>
      </c>
      <c r="D16" s="53">
        <v>84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52.7</v>
      </c>
      <c r="C17" s="53">
        <v>1056</v>
      </c>
      <c r="D17" s="53">
        <v>1127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61</v>
      </c>
      <c r="D18" s="53">
        <v>66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3.89</v>
      </c>
      <c r="D19" s="33">
        <v>3.04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1.76</v>
      </c>
      <c r="D20" s="33">
        <v>1.39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2.13</v>
      </c>
      <c r="D21" s="28">
        <f>D19-D20</f>
        <v>1.6500000000000001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1.59</v>
      </c>
      <c r="D22" s="33">
        <v>1.26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0.06</v>
      </c>
      <c r="C23" s="28">
        <v>0.12</v>
      </c>
      <c r="D23" s="33">
        <v>0.1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1.03</v>
      </c>
      <c r="D24" s="54">
        <v>1.01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46.33</v>
      </c>
      <c r="D27" s="53">
        <v>50.55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1.62</v>
      </c>
      <c r="D28" s="54">
        <v>1.67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3">
        <v>0.1</v>
      </c>
      <c r="C29" s="58">
        <v>4.7</v>
      </c>
      <c r="D29" s="58">
        <v>3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33">
        <v>0.02</v>
      </c>
      <c r="C30" s="28">
        <v>0.04</v>
      </c>
      <c r="D30" s="28">
        <v>0.04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113</v>
      </c>
      <c r="D31" s="53" t="s">
        <v>107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0.38</v>
      </c>
      <c r="C32" s="28">
        <v>1.19</v>
      </c>
      <c r="D32" s="28">
        <v>0.87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130</v>
      </c>
      <c r="C34" s="53">
        <v>460</v>
      </c>
      <c r="D34" s="53">
        <v>370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21</v>
      </c>
      <c r="C35" s="53">
        <v>11</v>
      </c>
      <c r="D35" s="53">
        <v>5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0.04</v>
      </c>
      <c r="C36" s="54">
        <v>0.22</v>
      </c>
      <c r="D36" s="53">
        <v>0.22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8.0212765957446805</v>
      </c>
      <c r="D37" s="54">
        <f>D14/B14</f>
        <v>8.2765957446808507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0.5</v>
      </c>
      <c r="D38" s="53">
        <v>0.53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6.63</v>
      </c>
      <c r="D39" s="54">
        <v>6.59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112" t="s">
        <v>171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E1679-7DAF-4E48-AA92-162C26C15B54}">
  <dimension ref="A1:I51"/>
  <sheetViews>
    <sheetView zoomScale="98" zoomScaleNormal="98" workbookViewId="0">
      <selection activeCell="E34" sqref="E34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167</v>
      </c>
      <c r="C4" s="8" t="s">
        <v>114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7.86</v>
      </c>
      <c r="C9" s="33">
        <v>7.72</v>
      </c>
      <c r="D9" s="33">
        <v>7.69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290</v>
      </c>
      <c r="C10" s="28">
        <v>2140</v>
      </c>
      <c r="D10" s="28">
        <v>2110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220</v>
      </c>
      <c r="C11" s="28">
        <v>1605</v>
      </c>
      <c r="D11" s="28">
        <v>1585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105</v>
      </c>
      <c r="C12" s="28">
        <v>60</v>
      </c>
      <c r="D12" s="28">
        <v>57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147</v>
      </c>
      <c r="C13" s="53">
        <v>1170</v>
      </c>
      <c r="D13" s="53">
        <v>1220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94</v>
      </c>
      <c r="C14" s="53">
        <v>776</v>
      </c>
      <c r="D14" s="53">
        <v>806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53</v>
      </c>
      <c r="C15" s="53">
        <f>C13-C14</f>
        <v>394</v>
      </c>
      <c r="D15" s="53">
        <f>D13-D14</f>
        <v>414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13</v>
      </c>
      <c r="C16" s="53">
        <v>88</v>
      </c>
      <c r="D16" s="53">
        <v>90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54.2</v>
      </c>
      <c r="C17" s="53">
        <v>1104</v>
      </c>
      <c r="D17" s="53">
        <v>1159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63</v>
      </c>
      <c r="D18" s="53">
        <v>67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3.42</v>
      </c>
      <c r="D19" s="33">
        <v>3.42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1.65</v>
      </c>
      <c r="D20" s="33">
        <v>1.49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1.77</v>
      </c>
      <c r="D21" s="28">
        <f>D19-D20</f>
        <v>1.93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1.55</v>
      </c>
      <c r="D22" s="33">
        <v>1.34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0.08</v>
      </c>
      <c r="C23" s="28">
        <v>0.13</v>
      </c>
      <c r="D23" s="33">
        <v>0.12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1.02</v>
      </c>
      <c r="D24" s="54">
        <v>1.01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45.5</v>
      </c>
      <c r="D27" s="53">
        <v>51.32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1.59</v>
      </c>
      <c r="D28" s="54">
        <v>1.57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3">
        <v>0.1</v>
      </c>
      <c r="C29" s="58">
        <v>4</v>
      </c>
      <c r="D29" s="58">
        <v>4.3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33">
        <v>0.03</v>
      </c>
      <c r="C30" s="28">
        <v>0.02</v>
      </c>
      <c r="D30" s="28">
        <v>0.03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153</v>
      </c>
      <c r="D31" s="53" t="s">
        <v>113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0.49</v>
      </c>
      <c r="C32" s="28">
        <v>1.73</v>
      </c>
      <c r="D32" s="28">
        <v>0.85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90</v>
      </c>
      <c r="C34" s="53">
        <v>380</v>
      </c>
      <c r="D34" s="53">
        <v>380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26</v>
      </c>
      <c r="C35" s="53">
        <v>5</v>
      </c>
      <c r="D35" s="53">
        <v>9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0.08</v>
      </c>
      <c r="C36" s="54">
        <v>0.32</v>
      </c>
      <c r="D36" s="53">
        <v>0.28000000000000003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8.2553191489361701</v>
      </c>
      <c r="D37" s="54">
        <f>D14/B14</f>
        <v>8.5744680851063837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0.65</v>
      </c>
      <c r="D38" s="53">
        <v>0.63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6.42</v>
      </c>
      <c r="D39" s="54">
        <v>6.43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112" t="s">
        <v>171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ABD56-4F88-48DF-BBEA-0D8AEA63F2F7}">
  <dimension ref="A1:I51"/>
  <sheetViews>
    <sheetView topLeftCell="A14" zoomScale="77" zoomScaleNormal="77" workbookViewId="0">
      <selection activeCell="B43" sqref="B43:I49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167</v>
      </c>
      <c r="C4" s="8" t="s">
        <v>151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7.97</v>
      </c>
      <c r="C9" s="33">
        <v>7.63</v>
      </c>
      <c r="D9" s="33">
        <v>7.71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290</v>
      </c>
      <c r="C10" s="28">
        <v>2140</v>
      </c>
      <c r="D10" s="28">
        <v>2130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220</v>
      </c>
      <c r="C11" s="28">
        <v>1605</v>
      </c>
      <c r="D11" s="28">
        <v>1600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104</v>
      </c>
      <c r="C12" s="28">
        <v>58</v>
      </c>
      <c r="D12" s="28">
        <v>62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146</v>
      </c>
      <c r="C13" s="53">
        <v>1154</v>
      </c>
      <c r="D13" s="53">
        <v>1204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96</v>
      </c>
      <c r="C14" s="53">
        <v>798</v>
      </c>
      <c r="D14" s="53">
        <v>834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50</v>
      </c>
      <c r="C15" s="53">
        <f>C13-C14</f>
        <v>356</v>
      </c>
      <c r="D15" s="53">
        <f>D13-D14</f>
        <v>370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14</v>
      </c>
      <c r="C16" s="53">
        <v>96</v>
      </c>
      <c r="D16" s="53">
        <v>92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52.9</v>
      </c>
      <c r="C17" s="53">
        <v>1091</v>
      </c>
      <c r="D17" s="53">
        <v>1119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59</v>
      </c>
      <c r="D18" s="53">
        <v>66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2.99</v>
      </c>
      <c r="D19" s="33">
        <v>2.92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1.55</v>
      </c>
      <c r="D20" s="33">
        <v>1.31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1.4400000000000002</v>
      </c>
      <c r="D21" s="28">
        <f>D19-D20</f>
        <v>1.6099999999999999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1.48</v>
      </c>
      <c r="D22" s="33">
        <v>1.1499999999999999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0.06</v>
      </c>
      <c r="C23" s="28">
        <v>0.12</v>
      </c>
      <c r="D23" s="33">
        <v>0.11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1.04</v>
      </c>
      <c r="D24" s="54">
        <v>1.02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45.45</v>
      </c>
      <c r="D27" s="53">
        <v>48.71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1.55</v>
      </c>
      <c r="D28" s="54">
        <v>1.52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3">
        <v>0.1</v>
      </c>
      <c r="C29" s="58">
        <v>4.3</v>
      </c>
      <c r="D29" s="61">
        <v>11.7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33">
        <v>0.03</v>
      </c>
      <c r="C30" s="28">
        <v>0.03</v>
      </c>
      <c r="D30" s="28">
        <v>0.04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113</v>
      </c>
      <c r="D31" s="53" t="s">
        <v>107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0.89</v>
      </c>
      <c r="C32" s="28">
        <v>1.71</v>
      </c>
      <c r="D32" s="28">
        <v>1.03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110</v>
      </c>
      <c r="C34" s="53">
        <v>330</v>
      </c>
      <c r="D34" s="53">
        <v>400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19</v>
      </c>
      <c r="C35" s="53">
        <v>5</v>
      </c>
      <c r="D35" s="53">
        <v>5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0.05</v>
      </c>
      <c r="C36" s="54">
        <v>0.15</v>
      </c>
      <c r="D36" s="53">
        <v>0.24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8.3125</v>
      </c>
      <c r="D37" s="54">
        <f>D14/B14</f>
        <v>8.6875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0.61</v>
      </c>
      <c r="D38" s="53">
        <v>0.74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6.42</v>
      </c>
      <c r="D39" s="54">
        <v>6.23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84" t="s">
        <v>183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327D-8788-4CF3-8575-440378D0604A}">
  <dimension ref="A1:I51"/>
  <sheetViews>
    <sheetView zoomScale="87" zoomScaleNormal="87" workbookViewId="0">
      <selection activeCell="N41" sqref="N41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172</v>
      </c>
      <c r="C4" s="8" t="s">
        <v>173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7.83</v>
      </c>
      <c r="C9" s="33">
        <v>7.63</v>
      </c>
      <c r="D9" s="33">
        <v>7.65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290</v>
      </c>
      <c r="C10" s="28">
        <v>2130</v>
      </c>
      <c r="D10" s="28">
        <v>2020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220</v>
      </c>
      <c r="C11" s="28">
        <v>1600</v>
      </c>
      <c r="D11" s="28">
        <v>1515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102</v>
      </c>
      <c r="C12" s="28">
        <v>55</v>
      </c>
      <c r="D12" s="28">
        <v>51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144</v>
      </c>
      <c r="C13" s="53">
        <v>1148</v>
      </c>
      <c r="D13" s="53">
        <v>1142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98</v>
      </c>
      <c r="C14" s="53">
        <v>786</v>
      </c>
      <c r="D14" s="53">
        <v>778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46</v>
      </c>
      <c r="C15" s="53">
        <f>C13-C14</f>
        <v>362</v>
      </c>
      <c r="D15" s="53">
        <f>D13-D14</f>
        <v>364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13</v>
      </c>
      <c r="C16" s="53">
        <v>80</v>
      </c>
      <c r="D16" s="53">
        <v>80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53.2</v>
      </c>
      <c r="C17" s="53">
        <v>1085</v>
      </c>
      <c r="D17" s="53">
        <v>1069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63</v>
      </c>
      <c r="D18" s="53">
        <v>64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3.08</v>
      </c>
      <c r="D19" s="33">
        <v>2.86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1.6</v>
      </c>
      <c r="D20" s="33">
        <v>1.39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1.48</v>
      </c>
      <c r="D21" s="28">
        <f>D19-D20</f>
        <v>1.47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1.51</v>
      </c>
      <c r="D22" s="33">
        <v>1.17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0.13</v>
      </c>
      <c r="C23" s="33">
        <v>0.2</v>
      </c>
      <c r="D23" s="33">
        <v>0.11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1.01</v>
      </c>
      <c r="D24" s="54">
        <v>1.03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45.59</v>
      </c>
      <c r="D27" s="53">
        <v>45.23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1.54</v>
      </c>
      <c r="D28" s="54">
        <v>1.51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3">
        <v>0.1</v>
      </c>
      <c r="C29" s="58">
        <v>8</v>
      </c>
      <c r="D29" s="58">
        <v>3.7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33">
        <v>0.02</v>
      </c>
      <c r="C30" s="28">
        <v>0.03</v>
      </c>
      <c r="D30" s="28">
        <v>0.03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107</v>
      </c>
      <c r="D31" s="53" t="s">
        <v>109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1.92</v>
      </c>
      <c r="C32" s="28">
        <v>2.2400000000000002</v>
      </c>
      <c r="D32" s="28">
        <v>1.33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140</v>
      </c>
      <c r="C34" s="53">
        <v>340</v>
      </c>
      <c r="D34" s="53">
        <v>390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17</v>
      </c>
      <c r="C35" s="53">
        <v>10</v>
      </c>
      <c r="D35" s="53">
        <v>4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0.08</v>
      </c>
      <c r="C36" s="54">
        <v>0.25</v>
      </c>
      <c r="D36" s="53">
        <v>0.28999999999999998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8.0204081632653068</v>
      </c>
      <c r="D37" s="54">
        <f>D14/B14</f>
        <v>7.9387755102040813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0.55000000000000004</v>
      </c>
      <c r="D38" s="53">
        <v>0.52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6.53</v>
      </c>
      <c r="D39" s="54">
        <v>6.6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84"/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2D21-6985-4F33-9210-CC924B4686A4}">
  <dimension ref="A1:I51"/>
  <sheetViews>
    <sheetView topLeftCell="A6" zoomScale="87" zoomScaleNormal="87" workbookViewId="0">
      <selection activeCell="I40" sqref="I40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172</v>
      </c>
      <c r="C4" s="8" t="s">
        <v>141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8.02</v>
      </c>
      <c r="C9" s="33">
        <v>7.74</v>
      </c>
      <c r="D9" s="33">
        <v>7.65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300</v>
      </c>
      <c r="C10" s="28">
        <v>2130</v>
      </c>
      <c r="D10" s="28">
        <v>2010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240</v>
      </c>
      <c r="C11" s="28">
        <v>1600</v>
      </c>
      <c r="D11" s="28">
        <v>1505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106</v>
      </c>
      <c r="C12" s="28">
        <v>59</v>
      </c>
      <c r="D12" s="28">
        <v>49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150</v>
      </c>
      <c r="C13" s="53">
        <v>1134</v>
      </c>
      <c r="D13" s="53">
        <v>1145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102</v>
      </c>
      <c r="C14" s="53">
        <v>770</v>
      </c>
      <c r="D14" s="53">
        <v>764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48</v>
      </c>
      <c r="C15" s="53">
        <f>C13-C14</f>
        <v>364</v>
      </c>
      <c r="D15" s="53">
        <f>D13-D14</f>
        <v>381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12</v>
      </c>
      <c r="C16" s="53">
        <v>75</v>
      </c>
      <c r="D16" s="53">
        <v>77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52.3</v>
      </c>
      <c r="C17" s="53">
        <v>1085</v>
      </c>
      <c r="D17" s="53">
        <v>1081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8</v>
      </c>
      <c r="C18" s="53">
        <v>60</v>
      </c>
      <c r="D18" s="53">
        <v>58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3.25</v>
      </c>
      <c r="D19" s="33">
        <v>2.91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1.55</v>
      </c>
      <c r="D20" s="33">
        <v>1.34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1.7</v>
      </c>
      <c r="D21" s="28">
        <f>D19-D20</f>
        <v>1.57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1.47</v>
      </c>
      <c r="D22" s="33">
        <v>1.17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7.0000000000000007E-2</v>
      </c>
      <c r="C23" s="33">
        <v>0.16</v>
      </c>
      <c r="D23" s="33">
        <v>0.15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1.04</v>
      </c>
      <c r="D24" s="54">
        <v>1.02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46.23</v>
      </c>
      <c r="D27" s="53">
        <v>45.59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1.56</v>
      </c>
      <c r="D28" s="54">
        <v>1.53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3">
        <v>0.1</v>
      </c>
      <c r="C29" s="58">
        <v>2.2999999999999998</v>
      </c>
      <c r="D29" s="58">
        <v>6.7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33">
        <v>0.03</v>
      </c>
      <c r="C30" s="28">
        <v>0.04</v>
      </c>
      <c r="D30" s="28">
        <v>0.05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107</v>
      </c>
      <c r="D31" s="53" t="s">
        <v>113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2.14</v>
      </c>
      <c r="C32" s="28">
        <v>2.16</v>
      </c>
      <c r="D32" s="28">
        <v>0.91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150</v>
      </c>
      <c r="C34" s="53">
        <v>280</v>
      </c>
      <c r="D34" s="53">
        <v>370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23</v>
      </c>
      <c r="C35" s="53">
        <v>8</v>
      </c>
      <c r="D35" s="53">
        <v>5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0.13</v>
      </c>
      <c r="C36" s="54">
        <v>0.3</v>
      </c>
      <c r="D36" s="53">
        <v>0.26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7.5490196078431371</v>
      </c>
      <c r="D37" s="54">
        <f>D14/B14</f>
        <v>7.4901960784313726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0.66</v>
      </c>
      <c r="D38" s="53">
        <v>0.51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6.41</v>
      </c>
      <c r="D39" s="54">
        <v>6.63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113" t="s">
        <v>174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CD749-4944-4DD2-BEC9-FD0932F70D32}">
  <dimension ref="A1:I51"/>
  <sheetViews>
    <sheetView topLeftCell="A17" zoomScale="87" zoomScaleNormal="87" workbookViewId="0">
      <selection activeCell="N37" sqref="N37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172</v>
      </c>
      <c r="C4" s="8" t="s">
        <v>146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7.81</v>
      </c>
      <c r="C9" s="33">
        <v>7.74</v>
      </c>
      <c r="D9" s="33">
        <v>7.7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300</v>
      </c>
      <c r="C10" s="28">
        <v>2240</v>
      </c>
      <c r="D10" s="28">
        <v>2130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240</v>
      </c>
      <c r="C11" s="28">
        <v>1680</v>
      </c>
      <c r="D11" s="28">
        <v>1595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110</v>
      </c>
      <c r="C12" s="28">
        <v>58</v>
      </c>
      <c r="D12" s="28">
        <v>55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149</v>
      </c>
      <c r="C13" s="53">
        <v>1204</v>
      </c>
      <c r="D13" s="53">
        <v>1206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95</v>
      </c>
      <c r="C14" s="53">
        <v>801</v>
      </c>
      <c r="D14" s="53">
        <v>782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54</v>
      </c>
      <c r="C15" s="53">
        <f>C13-C14</f>
        <v>403</v>
      </c>
      <c r="D15" s="53">
        <f>D13-D14</f>
        <v>424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10</v>
      </c>
      <c r="C16" s="53">
        <v>79</v>
      </c>
      <c r="D16" s="53">
        <v>76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55.1</v>
      </c>
      <c r="C17" s="53">
        <v>1118</v>
      </c>
      <c r="D17" s="53">
        <v>1175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64</v>
      </c>
      <c r="D18" s="53">
        <v>61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3.35</v>
      </c>
      <c r="D19" s="33">
        <v>2.82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1.49</v>
      </c>
      <c r="D20" s="33">
        <v>1.1499999999999999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1.86</v>
      </c>
      <c r="D21" s="28">
        <f>D19-D20</f>
        <v>1.67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1.4</v>
      </c>
      <c r="D22" s="33">
        <v>1.07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0.05</v>
      </c>
      <c r="C23" s="33">
        <v>0.16</v>
      </c>
      <c r="D23" s="33">
        <v>0.17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28"/>
      <c r="C24" s="54">
        <v>1.02</v>
      </c>
      <c r="D24" s="54">
        <v>1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28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28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46.74</v>
      </c>
      <c r="D27" s="53">
        <v>45.86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1.52</v>
      </c>
      <c r="D28" s="54">
        <v>1.56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3">
        <v>0.1</v>
      </c>
      <c r="C29" s="58">
        <v>9</v>
      </c>
      <c r="D29" s="58">
        <v>9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33">
        <v>0.02</v>
      </c>
      <c r="C30" s="28">
        <v>0.04</v>
      </c>
      <c r="D30" s="28">
        <v>0.03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28"/>
      <c r="C31" s="53" t="s">
        <v>107</v>
      </c>
      <c r="D31" s="53" t="s">
        <v>93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28">
        <v>0.69</v>
      </c>
      <c r="C32" s="28">
        <v>1.1100000000000001</v>
      </c>
      <c r="D32" s="28">
        <v>1.04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28"/>
      <c r="C33" s="28" t="s">
        <v>69</v>
      </c>
      <c r="D33" s="28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200</v>
      </c>
      <c r="C34" s="53">
        <v>340</v>
      </c>
      <c r="D34" s="53">
        <v>280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29</v>
      </c>
      <c r="C35" s="53">
        <v>5</v>
      </c>
      <c r="D35" s="53">
        <v>10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0.17</v>
      </c>
      <c r="C36" s="54">
        <v>0.32</v>
      </c>
      <c r="D36" s="53">
        <v>0.26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28"/>
      <c r="C37" s="54">
        <f>C14/B14</f>
        <v>8.4315789473684202</v>
      </c>
      <c r="D37" s="54">
        <f>D14/B14</f>
        <v>8.2315789473684209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0.73</v>
      </c>
      <c r="D38" s="53">
        <v>0.67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6.28</v>
      </c>
      <c r="D39" s="54">
        <v>6.35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113" t="s">
        <v>175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A24E-EDF9-48F8-9DFB-A3CE2DB0F79D}">
  <dimension ref="A1:I51"/>
  <sheetViews>
    <sheetView topLeftCell="A12" zoomScale="87" zoomScaleNormal="87" workbookViewId="0">
      <selection activeCell="B29" sqref="B29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176</v>
      </c>
      <c r="C4" s="8" t="s">
        <v>173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7.85</v>
      </c>
      <c r="C9" s="33">
        <v>7.74</v>
      </c>
      <c r="D9" s="33">
        <v>7.66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300</v>
      </c>
      <c r="C10" s="28">
        <v>2240</v>
      </c>
      <c r="D10" s="28">
        <v>2070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240</v>
      </c>
      <c r="C11" s="28">
        <v>1680</v>
      </c>
      <c r="D11" s="28">
        <v>1555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106</v>
      </c>
      <c r="C12" s="28">
        <v>56</v>
      </c>
      <c r="D12" s="28">
        <v>51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153</v>
      </c>
      <c r="C13" s="53">
        <v>1210</v>
      </c>
      <c r="D13" s="53">
        <v>1161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98</v>
      </c>
      <c r="C14" s="53">
        <v>784</v>
      </c>
      <c r="D14" s="53">
        <v>746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55</v>
      </c>
      <c r="C15" s="53">
        <f>C13-C14</f>
        <v>426</v>
      </c>
      <c r="D15" s="53">
        <f>D13-D14</f>
        <v>415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12</v>
      </c>
      <c r="C16" s="53">
        <v>84</v>
      </c>
      <c r="D16" s="53">
        <v>73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56.2</v>
      </c>
      <c r="C17" s="53">
        <v>1101</v>
      </c>
      <c r="D17" s="53">
        <v>1106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62</v>
      </c>
      <c r="D18" s="53">
        <v>61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2.88</v>
      </c>
      <c r="D19" s="33">
        <v>3.08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1.53</v>
      </c>
      <c r="D20" s="33">
        <v>1.36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1.3499999999999999</v>
      </c>
      <c r="D21" s="28">
        <f>D19-D20</f>
        <v>1.72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1.48</v>
      </c>
      <c r="D22" s="54">
        <v>1.07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0.05</v>
      </c>
      <c r="C23" s="33">
        <v>0.12</v>
      </c>
      <c r="D23" s="33">
        <v>0.11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53"/>
      <c r="C24" s="54">
        <v>1.04</v>
      </c>
      <c r="D24" s="54">
        <v>1.02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53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53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45.95</v>
      </c>
      <c r="D27" s="53">
        <v>47.39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1.53</v>
      </c>
      <c r="D28" s="54">
        <v>1.56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8">
        <v>1</v>
      </c>
      <c r="C29" s="58">
        <v>5</v>
      </c>
      <c r="D29" s="58">
        <v>4.7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54">
        <v>0.03</v>
      </c>
      <c r="C30" s="53">
        <v>0.02</v>
      </c>
      <c r="D30" s="53">
        <v>0.05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53"/>
      <c r="C31" s="53" t="s">
        <v>113</v>
      </c>
      <c r="D31" s="53" t="s">
        <v>107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53">
        <v>0.23</v>
      </c>
      <c r="C32" s="53">
        <v>1.37</v>
      </c>
      <c r="D32" s="53">
        <v>2.0699999999999998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53"/>
      <c r="C33" s="53" t="s">
        <v>69</v>
      </c>
      <c r="D33" s="53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130</v>
      </c>
      <c r="C34" s="53">
        <v>410</v>
      </c>
      <c r="D34" s="53">
        <v>310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39</v>
      </c>
      <c r="C35" s="53">
        <v>13</v>
      </c>
      <c r="D35" s="53">
        <v>7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0.04</v>
      </c>
      <c r="C36" s="54">
        <v>0.13</v>
      </c>
      <c r="D36" s="53">
        <v>0.17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53"/>
      <c r="C37" s="54">
        <f>C14/B14</f>
        <v>8</v>
      </c>
      <c r="D37" s="54">
        <f>D14/B14</f>
        <v>7.6122448979591839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0.69</v>
      </c>
      <c r="D38" s="53">
        <v>0.56000000000000005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6.35</v>
      </c>
      <c r="D39" s="54">
        <v>6.54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113" t="s">
        <v>177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C933-5C8A-46A7-8EAD-8C8DAFD2D76F}">
  <dimension ref="A1:I51"/>
  <sheetViews>
    <sheetView topLeftCell="A13" zoomScale="87" zoomScaleNormal="87" workbookViewId="0">
      <selection activeCell="N39" sqref="N39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176</v>
      </c>
      <c r="C4" s="8" t="s">
        <v>154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8.07</v>
      </c>
      <c r="C9" s="33">
        <v>7.75</v>
      </c>
      <c r="D9" s="33">
        <v>7.59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300</v>
      </c>
      <c r="C10" s="28">
        <v>2220</v>
      </c>
      <c r="D10" s="28">
        <v>2130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240</v>
      </c>
      <c r="C11" s="28">
        <v>1665</v>
      </c>
      <c r="D11" s="28">
        <v>1600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106</v>
      </c>
      <c r="C12" s="28">
        <v>61</v>
      </c>
      <c r="D12" s="28">
        <v>56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152</v>
      </c>
      <c r="C13" s="53">
        <v>1198</v>
      </c>
      <c r="D13" s="53">
        <v>1172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94</v>
      </c>
      <c r="C14" s="53">
        <v>780</v>
      </c>
      <c r="D14" s="53">
        <v>757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58</v>
      </c>
      <c r="C15" s="53">
        <f>C13-C14</f>
        <v>418</v>
      </c>
      <c r="D15" s="53">
        <f>D13-D14</f>
        <v>415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13</v>
      </c>
      <c r="C16" s="53">
        <v>89</v>
      </c>
      <c r="D16" s="53">
        <v>84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56.7</v>
      </c>
      <c r="C17" s="53">
        <v>1169</v>
      </c>
      <c r="D17" s="53">
        <v>1149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8</v>
      </c>
      <c r="C18" s="53">
        <v>61</v>
      </c>
      <c r="D18" s="53">
        <v>61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3.3</v>
      </c>
      <c r="D19" s="33">
        <v>3.05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1.5</v>
      </c>
      <c r="D20" s="33">
        <v>1.21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1.7999999999999998</v>
      </c>
      <c r="D21" s="28">
        <f>D19-D20</f>
        <v>1.8399999999999999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1.4</v>
      </c>
      <c r="D22" s="54">
        <v>1.1200000000000001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7.0000000000000007E-2</v>
      </c>
      <c r="C23" s="33">
        <v>0.11</v>
      </c>
      <c r="D23" s="33">
        <v>0.11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53"/>
      <c r="C24" s="54">
        <v>1.03</v>
      </c>
      <c r="D24" s="54">
        <v>1.03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53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53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45.43</v>
      </c>
      <c r="D27" s="53">
        <v>46.79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1.54</v>
      </c>
      <c r="D28" s="54">
        <v>1.56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8">
        <v>0.8</v>
      </c>
      <c r="C29" s="58">
        <v>4</v>
      </c>
      <c r="D29" s="58">
        <v>9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54">
        <v>0.02</v>
      </c>
      <c r="C30" s="53">
        <v>0.03</v>
      </c>
      <c r="D30" s="53">
        <v>0.05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53"/>
      <c r="C31" s="53" t="s">
        <v>107</v>
      </c>
      <c r="D31" s="53" t="s">
        <v>153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53">
        <v>0.25</v>
      </c>
      <c r="C32" s="53">
        <v>3.28</v>
      </c>
      <c r="D32" s="53">
        <v>1.71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53"/>
      <c r="C33" s="53" t="s">
        <v>69</v>
      </c>
      <c r="D33" s="53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130</v>
      </c>
      <c r="C34" s="53">
        <v>250</v>
      </c>
      <c r="D34" s="53">
        <v>300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21</v>
      </c>
      <c r="C35" s="53">
        <v>7</v>
      </c>
      <c r="D35" s="53">
        <v>9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0.13</v>
      </c>
      <c r="C36" s="54">
        <v>0.17</v>
      </c>
      <c r="D36" s="53">
        <v>0.23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53"/>
      <c r="C37" s="54">
        <f>C14/B14</f>
        <v>8.2978723404255312</v>
      </c>
      <c r="D37" s="54">
        <f>D14/B14</f>
        <v>8.0531914893617014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0.75</v>
      </c>
      <c r="D38" s="53">
        <v>0.52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3">
        <v>6.26</v>
      </c>
      <c r="D39" s="54">
        <v>6.55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114" t="s">
        <v>178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36739-3768-4247-B582-844A15268E15}">
  <dimension ref="A1:I51"/>
  <sheetViews>
    <sheetView topLeftCell="A21" zoomScale="87" zoomScaleNormal="87" workbookViewId="0">
      <selection activeCell="Q14" sqref="Q14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176</v>
      </c>
      <c r="C4" s="8" t="s">
        <v>156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7.8</v>
      </c>
      <c r="C9" s="33">
        <v>7.61</v>
      </c>
      <c r="D9" s="33">
        <v>7.63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300</v>
      </c>
      <c r="C10" s="28">
        <v>2010</v>
      </c>
      <c r="D10" s="28">
        <v>2150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240</v>
      </c>
      <c r="C11" s="28">
        <v>1505</v>
      </c>
      <c r="D11" s="28">
        <v>1615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100</v>
      </c>
      <c r="C12" s="28">
        <v>60</v>
      </c>
      <c r="D12" s="28">
        <v>57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154</v>
      </c>
      <c r="C13" s="53">
        <v>1052</v>
      </c>
      <c r="D13" s="53">
        <v>1188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95</v>
      </c>
      <c r="C14" s="53">
        <v>690</v>
      </c>
      <c r="D14" s="53">
        <v>758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59</v>
      </c>
      <c r="C15" s="53">
        <f>C13-C14</f>
        <v>362</v>
      </c>
      <c r="D15" s="53">
        <f>D13-D14</f>
        <v>430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14</v>
      </c>
      <c r="C16" s="53">
        <v>78</v>
      </c>
      <c r="D16" s="53">
        <v>91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56.8</v>
      </c>
      <c r="C17" s="53">
        <v>982</v>
      </c>
      <c r="D17" s="53">
        <v>1170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8</v>
      </c>
      <c r="C18" s="53">
        <v>53</v>
      </c>
      <c r="D18" s="53">
        <v>58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2.93</v>
      </c>
      <c r="D19" s="33">
        <v>2.66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1.6</v>
      </c>
      <c r="D20" s="33">
        <v>1.27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1.33</v>
      </c>
      <c r="D21" s="28">
        <f>D19-D20</f>
        <v>1.3900000000000001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1.37</v>
      </c>
      <c r="D22" s="54">
        <v>1.06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28">
        <v>0.03</v>
      </c>
      <c r="C23" s="33">
        <v>0.12</v>
      </c>
      <c r="D23" s="33">
        <v>0.12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53"/>
      <c r="C24" s="54">
        <v>1.04</v>
      </c>
      <c r="D24" s="54">
        <v>1.02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53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53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45.26</v>
      </c>
      <c r="D27" s="53">
        <v>45.68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1.51</v>
      </c>
      <c r="D28" s="54">
        <v>1.53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8">
        <v>0.2</v>
      </c>
      <c r="C29" s="58">
        <v>2.2999999999999998</v>
      </c>
      <c r="D29" s="58">
        <v>7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54">
        <v>0.02</v>
      </c>
      <c r="C30" s="53">
        <v>0.03</v>
      </c>
      <c r="D30" s="53">
        <v>0.03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53"/>
      <c r="C31" s="53" t="s">
        <v>107</v>
      </c>
      <c r="D31" s="53" t="s">
        <v>109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53">
        <v>0.13</v>
      </c>
      <c r="C32" s="53">
        <v>1.4</v>
      </c>
      <c r="D32" s="53">
        <v>2.14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53"/>
      <c r="C33" s="53" t="s">
        <v>69</v>
      </c>
      <c r="D33" s="53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90</v>
      </c>
      <c r="C34" s="53">
        <v>220</v>
      </c>
      <c r="D34" s="53">
        <v>210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33</v>
      </c>
      <c r="C35" s="53">
        <v>2</v>
      </c>
      <c r="D35" s="53">
        <v>9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0.03</v>
      </c>
      <c r="C36" s="54">
        <v>0.14000000000000001</v>
      </c>
      <c r="D36" s="53">
        <v>0.21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53"/>
      <c r="C37" s="54">
        <f>C14/B14</f>
        <v>7.2631578947368425</v>
      </c>
      <c r="D37" s="54">
        <f>D14/B14</f>
        <v>7.9789473684210526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0.55000000000000004</v>
      </c>
      <c r="D38" s="53">
        <v>0.59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4">
        <v>6.5</v>
      </c>
      <c r="D39" s="54">
        <v>6.46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114" t="s">
        <v>178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7716-9271-4B68-BD1A-2BBA9D72A8E1}">
  <dimension ref="A1:I51"/>
  <sheetViews>
    <sheetView topLeftCell="A21" zoomScale="87" zoomScaleNormal="87" workbookViewId="0">
      <selection activeCell="D29" sqref="D29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176</v>
      </c>
      <c r="C4" s="8" t="s">
        <v>179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7.85</v>
      </c>
      <c r="C9" s="33">
        <v>7.66</v>
      </c>
      <c r="D9" s="33">
        <v>7.64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310</v>
      </c>
      <c r="C10" s="28">
        <v>2270</v>
      </c>
      <c r="D10" s="28">
        <v>2150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235</v>
      </c>
      <c r="C11" s="28">
        <v>1705</v>
      </c>
      <c r="D11" s="28">
        <v>1615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105</v>
      </c>
      <c r="C12" s="28">
        <v>69</v>
      </c>
      <c r="D12" s="28">
        <v>63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154</v>
      </c>
      <c r="C13" s="53">
        <v>1200</v>
      </c>
      <c r="D13" s="53">
        <v>1198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98</v>
      </c>
      <c r="C14" s="53">
        <v>796</v>
      </c>
      <c r="D14" s="53">
        <v>780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56</v>
      </c>
      <c r="C15" s="53">
        <f>C13-C14</f>
        <v>404</v>
      </c>
      <c r="D15" s="53">
        <f>D13-D14</f>
        <v>418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14</v>
      </c>
      <c r="C16" s="53">
        <v>91</v>
      </c>
      <c r="D16" s="53">
        <v>86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53.8</v>
      </c>
      <c r="C17" s="53">
        <v>1150</v>
      </c>
      <c r="D17" s="53">
        <v>1092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59</v>
      </c>
      <c r="D18" s="53">
        <v>60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2.91</v>
      </c>
      <c r="D19" s="33">
        <v>2.6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1.45</v>
      </c>
      <c r="D20" s="33">
        <v>1.2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1.4600000000000002</v>
      </c>
      <c r="D21" s="33">
        <f>D19-D20</f>
        <v>1.4000000000000001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1.33</v>
      </c>
      <c r="D22" s="54">
        <v>1.03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33">
        <v>0.1</v>
      </c>
      <c r="C23" s="33">
        <v>0.13</v>
      </c>
      <c r="D23" s="33">
        <v>0.12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53"/>
      <c r="C24" s="54">
        <v>1.04</v>
      </c>
      <c r="D24" s="54">
        <v>1.01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53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53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45.63</v>
      </c>
      <c r="D27" s="53">
        <v>45.12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1.51</v>
      </c>
      <c r="D28" s="54">
        <v>1.54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8">
        <v>0.5</v>
      </c>
      <c r="C29" s="58">
        <v>8</v>
      </c>
      <c r="D29" s="58">
        <v>5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54">
        <v>0.04</v>
      </c>
      <c r="C30" s="53">
        <v>0.03</v>
      </c>
      <c r="D30" s="53">
        <v>0.04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53"/>
      <c r="C31" s="53" t="s">
        <v>107</v>
      </c>
      <c r="D31" s="53" t="s">
        <v>107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53">
        <v>1.47</v>
      </c>
      <c r="C32" s="53">
        <v>1.24</v>
      </c>
      <c r="D32" s="53">
        <v>1.19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53"/>
      <c r="C33" s="53" t="s">
        <v>69</v>
      </c>
      <c r="D33" s="53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150</v>
      </c>
      <c r="C34" s="53">
        <v>330</v>
      </c>
      <c r="D34" s="53">
        <v>320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50</v>
      </c>
      <c r="C35" s="53">
        <v>6</v>
      </c>
      <c r="D35" s="53">
        <v>2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0.12</v>
      </c>
      <c r="C36" s="54">
        <v>0.24</v>
      </c>
      <c r="D36" s="53">
        <v>0.28999999999999998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53"/>
      <c r="C37" s="54">
        <f>C14/B14</f>
        <v>8.1224489795918373</v>
      </c>
      <c r="D37" s="54">
        <f>D14/B14</f>
        <v>7.9591836734693882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0.73</v>
      </c>
      <c r="D38" s="53">
        <v>0.67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4">
        <v>6.2</v>
      </c>
      <c r="D39" s="54">
        <v>6.29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114" t="s">
        <v>178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7978-0EC3-495C-ADFE-1E381FA9EC77}">
  <dimension ref="A1:I51"/>
  <sheetViews>
    <sheetView topLeftCell="A19" zoomScale="87" zoomScaleNormal="87" workbookViewId="0">
      <selection activeCell="S10" sqref="S10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176</v>
      </c>
      <c r="C4" s="8" t="s">
        <v>97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7.8</v>
      </c>
      <c r="C9" s="33">
        <v>7.67</v>
      </c>
      <c r="D9" s="33">
        <v>7.68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300</v>
      </c>
      <c r="C10" s="28">
        <v>2220</v>
      </c>
      <c r="D10" s="28">
        <v>2160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225</v>
      </c>
      <c r="C11" s="28">
        <v>1665</v>
      </c>
      <c r="D11" s="28">
        <v>1620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108</v>
      </c>
      <c r="C12" s="28">
        <v>71</v>
      </c>
      <c r="D12" s="28">
        <v>69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146</v>
      </c>
      <c r="C13" s="53">
        <v>1191</v>
      </c>
      <c r="D13" s="53">
        <v>1211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94</v>
      </c>
      <c r="C14" s="53">
        <v>780</v>
      </c>
      <c r="D14" s="53">
        <v>788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52</v>
      </c>
      <c r="C15" s="53">
        <f>C13-C14</f>
        <v>411</v>
      </c>
      <c r="D15" s="53">
        <f>D13-D14</f>
        <v>423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14</v>
      </c>
      <c r="C16" s="53">
        <v>96</v>
      </c>
      <c r="D16" s="53">
        <v>92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52.1</v>
      </c>
      <c r="C17" s="53">
        <v>1115</v>
      </c>
      <c r="D17" s="53">
        <v>1109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10</v>
      </c>
      <c r="C18" s="53">
        <v>63</v>
      </c>
      <c r="D18" s="53">
        <v>68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2.5499999999999998</v>
      </c>
      <c r="D19" s="33">
        <v>2.74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1.41</v>
      </c>
      <c r="D20" s="33">
        <v>1.32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1.1399999999999999</v>
      </c>
      <c r="D21" s="33">
        <f>D19-D20</f>
        <v>1.4200000000000002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1.29</v>
      </c>
      <c r="D22" s="54">
        <v>1.06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33">
        <v>0.04</v>
      </c>
      <c r="C23" s="33">
        <v>0.15</v>
      </c>
      <c r="D23" s="33">
        <v>0.13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53"/>
      <c r="C24" s="54">
        <v>1.03</v>
      </c>
      <c r="D24" s="54">
        <v>1.05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53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53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62">
        <v>43.33</v>
      </c>
      <c r="D27" s="53">
        <v>46.57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1.51</v>
      </c>
      <c r="D28" s="54">
        <v>1.55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8">
        <v>0.1</v>
      </c>
      <c r="C29" s="58">
        <v>3</v>
      </c>
      <c r="D29" s="58">
        <v>2.7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54">
        <v>0.02</v>
      </c>
      <c r="C30" s="53">
        <v>0.04</v>
      </c>
      <c r="D30" s="53">
        <v>0.03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53"/>
      <c r="C31" s="53" t="s">
        <v>107</v>
      </c>
      <c r="D31" s="53" t="s">
        <v>113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53">
        <v>0.18</v>
      </c>
      <c r="C32" s="53">
        <v>1.41</v>
      </c>
      <c r="D32" s="53">
        <v>1.01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53"/>
      <c r="C33" s="53" t="s">
        <v>69</v>
      </c>
      <c r="D33" s="53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150</v>
      </c>
      <c r="C34" s="53">
        <v>380</v>
      </c>
      <c r="D34" s="53">
        <v>300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93</v>
      </c>
      <c r="C35" s="53">
        <v>15</v>
      </c>
      <c r="D35" s="53">
        <v>8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0.18</v>
      </c>
      <c r="C36" s="54">
        <v>0.34</v>
      </c>
      <c r="D36" s="53">
        <v>0.41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53"/>
      <c r="C37" s="54">
        <f>C14/B14</f>
        <v>8.2978723404255312</v>
      </c>
      <c r="D37" s="54">
        <f>D14/B14</f>
        <v>8.3829787234042552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0.75</v>
      </c>
      <c r="D38" s="53">
        <v>0.77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4">
        <v>6.17</v>
      </c>
      <c r="D39" s="54">
        <v>6.14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115" t="s">
        <v>180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03A6-CB88-490D-BDB3-D04EBDF0F5FA}">
  <dimension ref="A1:I51"/>
  <sheetViews>
    <sheetView topLeftCell="A19" zoomScale="87" zoomScaleNormal="87" workbookViewId="0">
      <selection activeCell="G21" sqref="G21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181</v>
      </c>
      <c r="C4" s="8" t="s">
        <v>148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7.73</v>
      </c>
      <c r="C9" s="33">
        <v>7.68</v>
      </c>
      <c r="D9" s="33">
        <v>7.75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300</v>
      </c>
      <c r="C10" s="28">
        <v>2230</v>
      </c>
      <c r="D10" s="28">
        <v>2170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225</v>
      </c>
      <c r="C11" s="28">
        <v>1675</v>
      </c>
      <c r="D11" s="28">
        <v>1630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97</v>
      </c>
      <c r="C12" s="28">
        <v>67</v>
      </c>
      <c r="D12" s="28">
        <v>67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145</v>
      </c>
      <c r="C13" s="53">
        <v>1206</v>
      </c>
      <c r="D13" s="53">
        <v>1200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94</v>
      </c>
      <c r="C14" s="53">
        <v>776</v>
      </c>
      <c r="D14" s="53">
        <v>769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51</v>
      </c>
      <c r="C15" s="53">
        <f>C13-C14</f>
        <v>430</v>
      </c>
      <c r="D15" s="53">
        <f>D13-D14</f>
        <v>431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15</v>
      </c>
      <c r="C16" s="53">
        <v>99</v>
      </c>
      <c r="D16" s="53">
        <v>100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53.8</v>
      </c>
      <c r="C17" s="53">
        <v>1071</v>
      </c>
      <c r="D17" s="53">
        <v>1055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8</v>
      </c>
      <c r="C18" s="53">
        <v>60</v>
      </c>
      <c r="D18" s="53">
        <v>61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2.7</v>
      </c>
      <c r="D19" s="33">
        <v>2.99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1.54</v>
      </c>
      <c r="D20" s="33">
        <v>1.39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1.1600000000000001</v>
      </c>
      <c r="D21" s="33">
        <f>D19-D20</f>
        <v>1.6000000000000003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1.23</v>
      </c>
      <c r="D22" s="54">
        <v>1.07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33">
        <v>0.06</v>
      </c>
      <c r="C23" s="33">
        <v>0.15</v>
      </c>
      <c r="D23" s="33">
        <v>0.18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53"/>
      <c r="C24" s="54">
        <v>1.02</v>
      </c>
      <c r="D24" s="54">
        <v>1.06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53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53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62">
        <v>44.57</v>
      </c>
      <c r="D27" s="53">
        <v>46.42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1.51</v>
      </c>
      <c r="D28" s="54">
        <v>1.54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8">
        <v>0.6</v>
      </c>
      <c r="C29" s="58">
        <v>3.7</v>
      </c>
      <c r="D29" s="58">
        <v>7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54">
        <v>0.09</v>
      </c>
      <c r="C30" s="53">
        <v>0.03</v>
      </c>
      <c r="D30" s="53">
        <v>0.04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53"/>
      <c r="C31" s="53" t="s">
        <v>107</v>
      </c>
      <c r="D31" s="53" t="s">
        <v>93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53">
        <v>0.54</v>
      </c>
      <c r="C32" s="53">
        <v>3.16</v>
      </c>
      <c r="D32" s="53">
        <v>1.79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53"/>
      <c r="C33" s="53" t="s">
        <v>69</v>
      </c>
      <c r="D33" s="53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140</v>
      </c>
      <c r="C34" s="53">
        <v>320</v>
      </c>
      <c r="D34" s="53">
        <v>400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48</v>
      </c>
      <c r="C35" s="53">
        <v>11</v>
      </c>
      <c r="D35" s="53">
        <v>16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0.05</v>
      </c>
      <c r="C36" s="54">
        <v>0.28999999999999998</v>
      </c>
      <c r="D36" s="53">
        <v>0.41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53"/>
      <c r="C37" s="54">
        <f>C14/B14</f>
        <v>8.2553191489361701</v>
      </c>
      <c r="D37" s="54">
        <f>D14/B14</f>
        <v>8.1808510638297864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0.71</v>
      </c>
      <c r="D38" s="53">
        <v>0.81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4">
        <v>6.26</v>
      </c>
      <c r="D39" s="54">
        <v>6.14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115" t="s">
        <v>182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7494-0680-4307-8F1E-35CA98F7610C}">
  <dimension ref="A1:I51"/>
  <sheetViews>
    <sheetView topLeftCell="A27" zoomScale="124" zoomScaleNormal="124" workbookViewId="0">
      <selection activeCell="B9" sqref="B9:I49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181</v>
      </c>
      <c r="C4" s="8" t="s">
        <v>149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7.9</v>
      </c>
      <c r="C9" s="33">
        <v>7.73</v>
      </c>
      <c r="D9" s="33">
        <v>7.68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300</v>
      </c>
      <c r="C10" s="28">
        <v>2230</v>
      </c>
      <c r="D10" s="28">
        <v>2180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225</v>
      </c>
      <c r="C11" s="28">
        <v>1675</v>
      </c>
      <c r="D11" s="28">
        <v>1635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102</v>
      </c>
      <c r="C12" s="28">
        <v>63</v>
      </c>
      <c r="D12" s="28">
        <v>58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146</v>
      </c>
      <c r="C13" s="53">
        <v>1176</v>
      </c>
      <c r="D13" s="53">
        <v>1146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94</v>
      </c>
      <c r="C14" s="53">
        <v>771</v>
      </c>
      <c r="D14" s="53">
        <v>750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52</v>
      </c>
      <c r="C15" s="53">
        <f>C13-C14</f>
        <v>405</v>
      </c>
      <c r="D15" s="53">
        <f>D13-D14</f>
        <v>396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15</v>
      </c>
      <c r="C16" s="53">
        <v>115</v>
      </c>
      <c r="D16" s="53">
        <v>110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53.1</v>
      </c>
      <c r="C17" s="53">
        <v>1024</v>
      </c>
      <c r="D17" s="53">
        <v>1033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8</v>
      </c>
      <c r="C18" s="53">
        <v>62</v>
      </c>
      <c r="D18" s="53">
        <v>64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3.73</v>
      </c>
      <c r="D19" s="33">
        <v>2.5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2</v>
      </c>
      <c r="D20" s="33">
        <v>1.31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1.73</v>
      </c>
      <c r="D21" s="33">
        <f>D19-D20</f>
        <v>1.19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1.78</v>
      </c>
      <c r="D22" s="54">
        <v>1.07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33">
        <v>0.05</v>
      </c>
      <c r="C23" s="33">
        <v>0.39</v>
      </c>
      <c r="D23" s="33">
        <v>0.19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53"/>
      <c r="C24" s="54">
        <v>1.2</v>
      </c>
      <c r="D24" s="54">
        <v>1.03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53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53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45.42</v>
      </c>
      <c r="D27" s="53">
        <v>45.72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2.44</v>
      </c>
      <c r="D28" s="54">
        <v>1.84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8">
        <v>0.8</v>
      </c>
      <c r="C29" s="61">
        <v>18.7</v>
      </c>
      <c r="D29" s="58">
        <v>4.7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54">
        <v>0.02</v>
      </c>
      <c r="C30" s="53">
        <v>0.04</v>
      </c>
      <c r="D30" s="53">
        <v>0.03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53"/>
      <c r="C31" s="53" t="s">
        <v>113</v>
      </c>
      <c r="D31" s="53" t="s">
        <v>102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53">
        <v>0.69</v>
      </c>
      <c r="C32" s="53">
        <v>8.0299999999999994</v>
      </c>
      <c r="D32" s="53">
        <v>4.04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53"/>
      <c r="C33" s="53" t="s">
        <v>69</v>
      </c>
      <c r="D33" s="53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100</v>
      </c>
      <c r="C34" s="53">
        <v>260</v>
      </c>
      <c r="D34" s="53">
        <v>270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45</v>
      </c>
      <c r="C35" s="53">
        <v>10</v>
      </c>
      <c r="D35" s="53">
        <v>10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0.08</v>
      </c>
      <c r="C36" s="54">
        <v>0.17</v>
      </c>
      <c r="D36" s="53">
        <v>0.21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53"/>
      <c r="C37" s="54">
        <f>C14/B14</f>
        <v>8.2021276595744688</v>
      </c>
      <c r="D37" s="54">
        <f>D14/B14</f>
        <v>7.9787234042553195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0.74</v>
      </c>
      <c r="D38" s="53">
        <v>0.65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4">
        <v>6.25</v>
      </c>
      <c r="D39" s="54">
        <v>6.37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115" t="s">
        <v>184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86A4-2602-49A6-89FC-FAB33588C35E}">
  <dimension ref="A1:I51"/>
  <sheetViews>
    <sheetView topLeftCell="A18" zoomScale="124" zoomScaleNormal="124" workbookViewId="0">
      <selection activeCell="B43" sqref="B43:I49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181</v>
      </c>
      <c r="C4" s="8" t="s">
        <v>150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7.9</v>
      </c>
      <c r="C9" s="33">
        <v>7.84</v>
      </c>
      <c r="D9" s="33">
        <v>7.75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290</v>
      </c>
      <c r="C10" s="28">
        <v>2220</v>
      </c>
      <c r="D10" s="28">
        <v>2160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220</v>
      </c>
      <c r="C11" s="28">
        <v>1665</v>
      </c>
      <c r="D11" s="28">
        <v>1620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94</v>
      </c>
      <c r="C12" s="28">
        <v>73</v>
      </c>
      <c r="D12" s="28">
        <v>59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142</v>
      </c>
      <c r="C13" s="53">
        <v>1182</v>
      </c>
      <c r="D13" s="53">
        <v>1120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92</v>
      </c>
      <c r="C14" s="53">
        <v>762</v>
      </c>
      <c r="D14" s="53">
        <v>742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50</v>
      </c>
      <c r="C15" s="53">
        <f>C13-C14</f>
        <v>420</v>
      </c>
      <c r="D15" s="53">
        <f>D13-D14</f>
        <v>378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13</v>
      </c>
      <c r="C16" s="53">
        <v>106</v>
      </c>
      <c r="D16" s="53">
        <v>100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46.7</v>
      </c>
      <c r="C17" s="53">
        <v>1026</v>
      </c>
      <c r="D17" s="53">
        <v>1010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60</v>
      </c>
      <c r="D18" s="53">
        <v>62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2.99</v>
      </c>
      <c r="D19" s="33">
        <v>2.73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1.42</v>
      </c>
      <c r="D20" s="33">
        <v>1.3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1.5700000000000003</v>
      </c>
      <c r="D21" s="33">
        <f>D19-D20</f>
        <v>1.43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1.28</v>
      </c>
      <c r="D22" s="54">
        <v>1.1100000000000001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33">
        <v>0.05</v>
      </c>
      <c r="C23" s="33">
        <v>0.22</v>
      </c>
      <c r="D23" s="33">
        <v>0.17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53"/>
      <c r="C24" s="54">
        <v>1.08</v>
      </c>
      <c r="D24" s="54">
        <v>1.05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53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53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45.31</v>
      </c>
      <c r="D27" s="53">
        <v>45.86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1.52</v>
      </c>
      <c r="D28" s="54">
        <v>1.55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8">
        <v>0.5</v>
      </c>
      <c r="C29" s="58">
        <v>9</v>
      </c>
      <c r="D29" s="58">
        <v>7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54">
        <v>0.02</v>
      </c>
      <c r="C30" s="53">
        <v>0.03</v>
      </c>
      <c r="D30" s="53">
        <v>0.02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53"/>
      <c r="C31" s="53" t="s">
        <v>93</v>
      </c>
      <c r="D31" s="53" t="s">
        <v>107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53">
        <v>0.28999999999999998</v>
      </c>
      <c r="C32" s="53">
        <v>4.7699999999999996</v>
      </c>
      <c r="D32" s="53">
        <v>1.93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53"/>
      <c r="C33" s="53" t="s">
        <v>69</v>
      </c>
      <c r="D33" s="53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120</v>
      </c>
      <c r="C34" s="53">
        <v>240</v>
      </c>
      <c r="D34" s="53">
        <v>200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56</v>
      </c>
      <c r="C35" s="53">
        <v>15</v>
      </c>
      <c r="D35" s="53">
        <v>19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0.16</v>
      </c>
      <c r="C36" s="54">
        <v>0.27</v>
      </c>
      <c r="D36" s="53">
        <v>0.28999999999999998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53"/>
      <c r="C37" s="54">
        <f>C14/B14</f>
        <v>8.2826086956521738</v>
      </c>
      <c r="D37" s="54">
        <f>D14/B14</f>
        <v>8.0652173913043477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0.94</v>
      </c>
      <c r="D38" s="53">
        <v>0.78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4">
        <v>5.96</v>
      </c>
      <c r="D39" s="54">
        <v>6.19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112" t="s">
        <v>185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B78E-8288-499E-B4F7-CC206AAF3E99}">
  <dimension ref="A1:I51"/>
  <sheetViews>
    <sheetView topLeftCell="A19" zoomScale="124" zoomScaleNormal="124" workbookViewId="0">
      <selection activeCell="D25" sqref="D25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181</v>
      </c>
      <c r="C4" s="8" t="s">
        <v>151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7.89</v>
      </c>
      <c r="C9" s="33">
        <v>7.76</v>
      </c>
      <c r="D9" s="33">
        <v>7.7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290</v>
      </c>
      <c r="C10" s="28">
        <v>2200</v>
      </c>
      <c r="D10" s="28">
        <v>2190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220</v>
      </c>
      <c r="C11" s="28">
        <v>1650</v>
      </c>
      <c r="D11" s="28">
        <v>1645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97</v>
      </c>
      <c r="C12" s="28">
        <v>68</v>
      </c>
      <c r="D12" s="28">
        <v>56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141</v>
      </c>
      <c r="C13" s="53">
        <v>1152</v>
      </c>
      <c r="D13" s="53">
        <v>1122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95</v>
      </c>
      <c r="C14" s="53">
        <v>758</v>
      </c>
      <c r="D14" s="53">
        <v>752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46</v>
      </c>
      <c r="C15" s="53">
        <f>C13-C14</f>
        <v>394</v>
      </c>
      <c r="D15" s="53">
        <f>D13-D14</f>
        <v>370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12</v>
      </c>
      <c r="C16" s="53">
        <v>102</v>
      </c>
      <c r="D16" s="53">
        <v>99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57.1</v>
      </c>
      <c r="C17" s="53">
        <v>1080</v>
      </c>
      <c r="D17" s="53">
        <v>1085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8</v>
      </c>
      <c r="C18" s="53">
        <v>60</v>
      </c>
      <c r="D18" s="53">
        <v>61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2.72</v>
      </c>
      <c r="D19" s="33">
        <v>2.92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1.29</v>
      </c>
      <c r="D20" s="33">
        <v>1.24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1.4300000000000002</v>
      </c>
      <c r="D21" s="33">
        <f>D19-D20</f>
        <v>1.68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1.17</v>
      </c>
      <c r="D22" s="54">
        <v>1.19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33">
        <v>0.02</v>
      </c>
      <c r="C23" s="33">
        <v>0.15</v>
      </c>
      <c r="D23" s="33">
        <v>0.13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53"/>
      <c r="C24" s="54">
        <v>1.05</v>
      </c>
      <c r="D24" s="54">
        <v>1.07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53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53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45.34</v>
      </c>
      <c r="D27" s="53">
        <v>46.55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1.53</v>
      </c>
      <c r="D28" s="54">
        <v>1.6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8">
        <v>0.7</v>
      </c>
      <c r="C29" s="58">
        <v>3.7</v>
      </c>
      <c r="D29" s="58">
        <v>6.3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54">
        <v>0.03</v>
      </c>
      <c r="C30" s="53">
        <v>0.04</v>
      </c>
      <c r="D30" s="53">
        <v>0.02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18" t="s">
        <v>66</v>
      </c>
      <c r="B31" s="53"/>
      <c r="C31" s="53" t="s">
        <v>113</v>
      </c>
      <c r="D31" s="53" t="s">
        <v>107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53">
        <v>0.49</v>
      </c>
      <c r="C32" s="54">
        <v>2</v>
      </c>
      <c r="D32" s="53">
        <v>1.07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53"/>
      <c r="C33" s="53" t="s">
        <v>69</v>
      </c>
      <c r="D33" s="53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190</v>
      </c>
      <c r="C34" s="53">
        <v>270</v>
      </c>
      <c r="D34" s="53">
        <v>250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29</v>
      </c>
      <c r="C35" s="53">
        <v>14</v>
      </c>
      <c r="D35" s="53">
        <v>8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0.14000000000000001</v>
      </c>
      <c r="C36" s="54">
        <v>0.23</v>
      </c>
      <c r="D36" s="53">
        <v>0.31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53"/>
      <c r="C37" s="54">
        <f>C14/B14</f>
        <v>7.9789473684210526</v>
      </c>
      <c r="D37" s="54">
        <f>D14/B14</f>
        <v>7.9157894736842103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0.79</v>
      </c>
      <c r="D38" s="53">
        <v>0.66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4">
        <v>6.17</v>
      </c>
      <c r="D39" s="54">
        <v>6.38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112"/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EE73-FCBA-4029-9B53-C11373788DAA}">
  <dimension ref="A1:I51"/>
  <sheetViews>
    <sheetView zoomScale="96" zoomScaleNormal="96" workbookViewId="0">
      <selection activeCell="E17" sqref="E17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186</v>
      </c>
      <c r="C4" s="8" t="s">
        <v>187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7.57</v>
      </c>
      <c r="C9" s="33">
        <v>7.58</v>
      </c>
      <c r="D9" s="33">
        <v>7.55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300</v>
      </c>
      <c r="C10" s="28">
        <v>2220</v>
      </c>
      <c r="D10" s="28">
        <v>2040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225</v>
      </c>
      <c r="C11" s="28">
        <v>1665</v>
      </c>
      <c r="D11" s="28">
        <v>1530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92</v>
      </c>
      <c r="C12" s="28">
        <v>68</v>
      </c>
      <c r="D12" s="28">
        <v>58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144</v>
      </c>
      <c r="C13" s="53">
        <v>1200</v>
      </c>
      <c r="D13" s="53">
        <v>1100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94</v>
      </c>
      <c r="C14" s="53">
        <v>782</v>
      </c>
      <c r="D14" s="53">
        <v>758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50</v>
      </c>
      <c r="C15" s="53">
        <f>C13-C14</f>
        <v>418</v>
      </c>
      <c r="D15" s="53">
        <f>D13-D14</f>
        <v>342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13</v>
      </c>
      <c r="C16" s="53">
        <v>102</v>
      </c>
      <c r="D16" s="53">
        <v>100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54.3</v>
      </c>
      <c r="C17" s="53">
        <v>1073</v>
      </c>
      <c r="D17" s="53">
        <v>1121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62</v>
      </c>
      <c r="D18" s="53">
        <v>64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2.4900000000000002</v>
      </c>
      <c r="D19" s="33">
        <v>2.9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1.25</v>
      </c>
      <c r="D20" s="33">
        <v>1.32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1.2400000000000002</v>
      </c>
      <c r="D21" s="33">
        <f>D19-D20</f>
        <v>1.5799999999999998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1.1000000000000001</v>
      </c>
      <c r="D22" s="54">
        <v>1.18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33">
        <v>0.01</v>
      </c>
      <c r="C23" s="33">
        <v>0.11</v>
      </c>
      <c r="D23" s="33">
        <v>0.15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53"/>
      <c r="C24" s="54">
        <v>1.04</v>
      </c>
      <c r="D24" s="54">
        <v>1.07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53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53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45.27</v>
      </c>
      <c r="D27" s="53">
        <v>47.27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1.52</v>
      </c>
      <c r="D28" s="54">
        <v>1.58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8">
        <v>0.1</v>
      </c>
      <c r="C29" s="58">
        <v>9.6999999999999993</v>
      </c>
      <c r="D29" s="61">
        <v>13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54">
        <v>0.03</v>
      </c>
      <c r="C30" s="53">
        <v>0.08</v>
      </c>
      <c r="D30" s="53">
        <v>0.04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23" t="s">
        <v>66</v>
      </c>
      <c r="B31" s="53"/>
      <c r="C31" s="53" t="s">
        <v>107</v>
      </c>
      <c r="D31" s="53" t="s">
        <v>153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53">
        <v>0.24</v>
      </c>
      <c r="C32" s="54">
        <v>2.58</v>
      </c>
      <c r="D32" s="53">
        <v>6.04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53"/>
      <c r="C33" s="53" t="s">
        <v>69</v>
      </c>
      <c r="D33" s="53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180</v>
      </c>
      <c r="C34" s="53">
        <v>390</v>
      </c>
      <c r="D34" s="53">
        <v>430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39</v>
      </c>
      <c r="C35" s="53">
        <v>6</v>
      </c>
      <c r="D35" s="53">
        <v>10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0.01</v>
      </c>
      <c r="C36" s="54">
        <v>0.19</v>
      </c>
      <c r="D36" s="53">
        <v>0.24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53"/>
      <c r="C37" s="54">
        <f>C14/B14</f>
        <v>8.3191489361702136</v>
      </c>
      <c r="D37" s="54">
        <f>D14/B14</f>
        <v>8.0638297872340434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0.59</v>
      </c>
      <c r="D38" s="53">
        <v>0.49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4">
        <v>6.41</v>
      </c>
      <c r="D39" s="54">
        <v>6.57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112" t="s">
        <v>188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E52B-FA2D-441F-A266-B1E211565B00}">
  <dimension ref="A1:I51"/>
  <sheetViews>
    <sheetView zoomScale="96" zoomScaleNormal="96" workbookViewId="0">
      <selection activeCell="F17" sqref="F17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186</v>
      </c>
      <c r="C4" s="8" t="s">
        <v>112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7.42</v>
      </c>
      <c r="C9" s="33">
        <v>7.79</v>
      </c>
      <c r="D9" s="33">
        <v>7.64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290</v>
      </c>
      <c r="C10" s="28">
        <v>2200</v>
      </c>
      <c r="D10" s="28">
        <v>2190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215</v>
      </c>
      <c r="C11" s="28">
        <v>1650</v>
      </c>
      <c r="D11" s="28">
        <v>1645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95</v>
      </c>
      <c r="C12" s="28">
        <v>77</v>
      </c>
      <c r="D12" s="28">
        <v>56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150</v>
      </c>
      <c r="C13" s="53">
        <v>1184</v>
      </c>
      <c r="D13" s="53">
        <v>1200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96</v>
      </c>
      <c r="C14" s="53">
        <v>806</v>
      </c>
      <c r="D14" s="53">
        <v>820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54</v>
      </c>
      <c r="C15" s="53">
        <f>C13-C14</f>
        <v>378</v>
      </c>
      <c r="D15" s="53">
        <f>D13-D14</f>
        <v>380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12</v>
      </c>
      <c r="C16" s="53">
        <v>102</v>
      </c>
      <c r="D16" s="53">
        <v>100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58.9</v>
      </c>
      <c r="C17" s="53">
        <v>1077</v>
      </c>
      <c r="D17" s="53">
        <v>1114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62</v>
      </c>
      <c r="D18" s="53">
        <v>65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</v>
      </c>
      <c r="D19" s="33">
        <v>3.41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1.2</v>
      </c>
      <c r="D20" s="33">
        <v>1.41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1.8</v>
      </c>
      <c r="D21" s="33">
        <f>D19-D20</f>
        <v>2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33">
        <v>1.03</v>
      </c>
      <c r="D22" s="54">
        <v>1.1000000000000001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33">
        <v>0.04</v>
      </c>
      <c r="C23" s="33">
        <v>0.12</v>
      </c>
      <c r="D23" s="33">
        <v>0.12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53"/>
      <c r="C24" s="54">
        <v>1.02</v>
      </c>
      <c r="D24" s="54">
        <v>1.1200000000000001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53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53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45.69</v>
      </c>
      <c r="D27" s="53">
        <v>48.8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1.51</v>
      </c>
      <c r="D28" s="54">
        <v>1.55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8">
        <v>0.8</v>
      </c>
      <c r="C29" s="58">
        <v>4.7</v>
      </c>
      <c r="D29" s="61">
        <v>11.2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54">
        <v>0.05</v>
      </c>
      <c r="C30" s="53">
        <v>0.04</v>
      </c>
      <c r="D30" s="53">
        <v>0.03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23" t="s">
        <v>66</v>
      </c>
      <c r="B31" s="53"/>
      <c r="C31" s="53" t="s">
        <v>113</v>
      </c>
      <c r="D31" s="53" t="s">
        <v>102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53">
        <v>0.74</v>
      </c>
      <c r="C32" s="54">
        <v>1.9</v>
      </c>
      <c r="D32" s="53">
        <v>2.73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53"/>
      <c r="C33" s="53" t="s">
        <v>69</v>
      </c>
      <c r="D33" s="53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160</v>
      </c>
      <c r="C34" s="53">
        <v>450</v>
      </c>
      <c r="D34" s="53">
        <v>380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13</v>
      </c>
      <c r="C35" s="53">
        <v>12</v>
      </c>
      <c r="D35" s="53">
        <v>8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0.01</v>
      </c>
      <c r="C36" s="54">
        <v>0.14000000000000001</v>
      </c>
      <c r="D36" s="53">
        <v>0.16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53"/>
      <c r="C37" s="54">
        <f>C14/B14</f>
        <v>8.3958333333333339</v>
      </c>
      <c r="D37" s="54">
        <f>D14/B14</f>
        <v>8.5416666666666661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0.89</v>
      </c>
      <c r="D38" s="53">
        <v>0.62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4">
        <v>6</v>
      </c>
      <c r="D39" s="54">
        <v>6.4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112" t="s">
        <v>188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2573-AE21-479A-B717-889DFDB35023}">
  <dimension ref="A1:I51"/>
  <sheetViews>
    <sheetView zoomScale="96" zoomScaleNormal="96" workbookViewId="0">
      <selection activeCell="H19" sqref="H19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186</v>
      </c>
      <c r="C4" s="8" t="s">
        <v>114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7.88</v>
      </c>
      <c r="C9" s="33">
        <v>7.81</v>
      </c>
      <c r="D9" s="33">
        <v>7.73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300</v>
      </c>
      <c r="C10" s="28">
        <v>2190</v>
      </c>
      <c r="D10" s="28">
        <v>2160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225</v>
      </c>
      <c r="C11" s="28">
        <v>1645</v>
      </c>
      <c r="D11" s="28">
        <v>1620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97</v>
      </c>
      <c r="C12" s="28">
        <v>74</v>
      </c>
      <c r="D12" s="28">
        <v>59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141</v>
      </c>
      <c r="C13" s="53">
        <v>1154</v>
      </c>
      <c r="D13" s="53">
        <v>1190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98</v>
      </c>
      <c r="C14" s="53">
        <v>796</v>
      </c>
      <c r="D14" s="53">
        <v>802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43</v>
      </c>
      <c r="C15" s="53">
        <f>C13-C14</f>
        <v>358</v>
      </c>
      <c r="D15" s="53">
        <f>D13-D14</f>
        <v>388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11</v>
      </c>
      <c r="C16" s="53">
        <v>101</v>
      </c>
      <c r="D16" s="53">
        <v>107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59.2</v>
      </c>
      <c r="C17" s="53">
        <v>1056</v>
      </c>
      <c r="D17" s="53">
        <v>1100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10</v>
      </c>
      <c r="C18" s="53">
        <v>68</v>
      </c>
      <c r="D18" s="53">
        <v>68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2.19</v>
      </c>
      <c r="D19" s="33">
        <v>2.65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1.1100000000000001</v>
      </c>
      <c r="D20" s="33">
        <v>1.38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1.0799999999999998</v>
      </c>
      <c r="D21" s="33">
        <f>D19-D20</f>
        <v>1.27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54">
        <v>1.04</v>
      </c>
      <c r="D22" s="54">
        <v>1.1399999999999999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33">
        <v>0.03</v>
      </c>
      <c r="C23" s="33">
        <v>0.15</v>
      </c>
      <c r="D23" s="33">
        <v>0.11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53"/>
      <c r="C24" s="54">
        <v>1</v>
      </c>
      <c r="D24" s="54">
        <v>1.0900000000000001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53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53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63">
        <v>42.1</v>
      </c>
      <c r="D27" s="53">
        <v>48.31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1.54</v>
      </c>
      <c r="D28" s="54">
        <v>1.58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8">
        <v>0.5</v>
      </c>
      <c r="C29" s="61">
        <v>12.3</v>
      </c>
      <c r="D29" s="58">
        <v>4.7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54">
        <v>0.02</v>
      </c>
      <c r="C30" s="53">
        <v>0.02</v>
      </c>
      <c r="D30" s="53">
        <v>0.04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23" t="s">
        <v>66</v>
      </c>
      <c r="B31" s="53"/>
      <c r="C31" s="53" t="s">
        <v>93</v>
      </c>
      <c r="D31" s="53" t="s">
        <v>153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53">
        <v>0.19</v>
      </c>
      <c r="C32" s="54">
        <v>5.59</v>
      </c>
      <c r="D32" s="53">
        <v>1.19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53"/>
      <c r="C33" s="53" t="s">
        <v>69</v>
      </c>
      <c r="D33" s="53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320</v>
      </c>
      <c r="C34" s="53">
        <v>640</v>
      </c>
      <c r="D34" s="53">
        <v>620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40</v>
      </c>
      <c r="C35" s="53">
        <v>10</v>
      </c>
      <c r="D35" s="53">
        <v>9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0.2</v>
      </c>
      <c r="C36" s="54">
        <v>0.34</v>
      </c>
      <c r="D36" s="53">
        <v>0.34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53"/>
      <c r="C37" s="54">
        <f>C14/B14</f>
        <v>8.1224489795918373</v>
      </c>
      <c r="D37" s="54">
        <f>D14/B14</f>
        <v>8.183673469387756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0.91</v>
      </c>
      <c r="D38" s="53">
        <v>0.74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4">
        <v>5.99</v>
      </c>
      <c r="D39" s="54">
        <v>6.24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112" t="s">
        <v>189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6328-8812-4538-8F5E-213019D5E64A}">
  <dimension ref="A1:I51"/>
  <sheetViews>
    <sheetView zoomScale="93" zoomScaleNormal="93" workbookViewId="0">
      <selection activeCell="O18" sqref="O18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186</v>
      </c>
      <c r="C4" s="8" t="s">
        <v>115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7.75</v>
      </c>
      <c r="C9" s="33">
        <v>7.66</v>
      </c>
      <c r="D9" s="64">
        <v>7.82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300</v>
      </c>
      <c r="C10" s="28">
        <v>2230</v>
      </c>
      <c r="D10" s="28">
        <v>2200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225</v>
      </c>
      <c r="C11" s="28">
        <v>1675</v>
      </c>
      <c r="D11" s="28">
        <v>1650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109</v>
      </c>
      <c r="C12" s="28">
        <v>66</v>
      </c>
      <c r="D12" s="28">
        <v>59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155</v>
      </c>
      <c r="C13" s="53">
        <v>1158</v>
      </c>
      <c r="D13" s="53">
        <v>1140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97</v>
      </c>
      <c r="C14" s="53">
        <v>796</v>
      </c>
      <c r="D14" s="53">
        <v>784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58</v>
      </c>
      <c r="C15" s="53">
        <f>C13-C14</f>
        <v>362</v>
      </c>
      <c r="D15" s="53">
        <f>D13-D14</f>
        <v>356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12</v>
      </c>
      <c r="C16" s="53">
        <v>106</v>
      </c>
      <c r="D16" s="53">
        <v>104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59.4</v>
      </c>
      <c r="C17" s="53">
        <v>1130</v>
      </c>
      <c r="D17" s="53">
        <v>1116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65</v>
      </c>
      <c r="D18" s="53">
        <v>65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2.81</v>
      </c>
      <c r="D19" s="33">
        <v>2.96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1.25</v>
      </c>
      <c r="D20" s="33">
        <v>1.29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1.56</v>
      </c>
      <c r="D21" s="33">
        <f>D19-D20</f>
        <v>1.67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54">
        <v>1.17</v>
      </c>
      <c r="D22" s="54">
        <v>1.17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33">
        <v>0.03</v>
      </c>
      <c r="C23" s="33">
        <v>0.51</v>
      </c>
      <c r="D23" s="33">
        <v>0.13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53"/>
      <c r="C24" s="54">
        <v>1.1299999999999999</v>
      </c>
      <c r="D24" s="54">
        <v>1.0900000000000001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53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53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47.39</v>
      </c>
      <c r="D27" s="53">
        <v>49.09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1.58</v>
      </c>
      <c r="D28" s="54">
        <v>1.68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8">
        <v>0.1</v>
      </c>
      <c r="C29" s="61">
        <v>16.7</v>
      </c>
      <c r="D29" s="61">
        <v>14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54">
        <v>0.03</v>
      </c>
      <c r="C30" s="53">
        <v>0.04</v>
      </c>
      <c r="D30" s="53">
        <v>0.03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23" t="s">
        <v>66</v>
      </c>
      <c r="B31" s="53"/>
      <c r="C31" s="53" t="s">
        <v>102</v>
      </c>
      <c r="D31" s="53" t="s">
        <v>106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53">
        <v>0.25</v>
      </c>
      <c r="C32" s="54">
        <v>6.35</v>
      </c>
      <c r="D32" s="53">
        <v>2.33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53"/>
      <c r="C33" s="53" t="s">
        <v>69</v>
      </c>
      <c r="D33" s="53" t="s">
        <v>69</v>
      </c>
      <c r="E33" s="29"/>
      <c r="F33" s="30"/>
      <c r="G33" s="17"/>
      <c r="H33" s="18"/>
      <c r="I33" s="18"/>
    </row>
    <row r="34" spans="1:9" ht="20.100000000000001" customHeight="1">
      <c r="A34" s="18" t="s">
        <v>70</v>
      </c>
      <c r="B34" s="53">
        <v>170</v>
      </c>
      <c r="C34" s="53">
        <v>480</v>
      </c>
      <c r="D34" s="53">
        <v>550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58</v>
      </c>
      <c r="C35" s="53">
        <v>6</v>
      </c>
      <c r="D35" s="53">
        <v>8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0.06</v>
      </c>
      <c r="C36" s="54">
        <v>0.35</v>
      </c>
      <c r="D36" s="53">
        <v>0.33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53"/>
      <c r="C37" s="54">
        <f>C14/B14</f>
        <v>8.2061855670103085</v>
      </c>
      <c r="D37" s="54">
        <f>D14/B14</f>
        <v>8.0824742268041234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0.7</v>
      </c>
      <c r="D38" s="53">
        <v>0.82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4">
        <v>6.25</v>
      </c>
      <c r="D39" s="54">
        <v>6.18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81" t="s">
        <v>190</v>
      </c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730C-53C2-41A7-A1A6-60365BAEC6AD}">
  <dimension ref="A1:I51"/>
  <sheetViews>
    <sheetView topLeftCell="A12" zoomScale="93" zoomScaleNormal="93" workbookViewId="0">
      <selection activeCell="E16" sqref="E16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96</v>
      </c>
      <c r="C4" s="8" t="s">
        <v>5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7.75</v>
      </c>
      <c r="C9" s="33">
        <v>7.66</v>
      </c>
      <c r="D9" s="33">
        <v>7.62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300</v>
      </c>
      <c r="C10" s="28">
        <v>2280</v>
      </c>
      <c r="D10" s="28">
        <v>2180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225</v>
      </c>
      <c r="C11" s="28">
        <v>1710</v>
      </c>
      <c r="D11" s="28">
        <v>1635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98</v>
      </c>
      <c r="C12" s="28">
        <v>63</v>
      </c>
      <c r="D12" s="28">
        <v>60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158</v>
      </c>
      <c r="C13" s="53">
        <v>1226</v>
      </c>
      <c r="D13" s="53">
        <v>1166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99</v>
      </c>
      <c r="C14" s="53">
        <v>820</v>
      </c>
      <c r="D14" s="53">
        <v>788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59</v>
      </c>
      <c r="C15" s="53">
        <f>C13-C14</f>
        <v>406</v>
      </c>
      <c r="D15" s="53">
        <f>D13-D14</f>
        <v>378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11</v>
      </c>
      <c r="C16" s="53">
        <v>97</v>
      </c>
      <c r="D16" s="53">
        <v>93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59.5</v>
      </c>
      <c r="C17" s="53">
        <v>1131</v>
      </c>
      <c r="D17" s="53">
        <v>1132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9</v>
      </c>
      <c r="C18" s="53">
        <v>63</v>
      </c>
      <c r="D18" s="53">
        <v>63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3.29</v>
      </c>
      <c r="D19" s="33">
        <v>3.11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1.37</v>
      </c>
      <c r="D20" s="33">
        <v>1.46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1.92</v>
      </c>
      <c r="D21" s="33">
        <f>D19-D20</f>
        <v>1.65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54">
        <v>1.06</v>
      </c>
      <c r="D22" s="54">
        <v>1.08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33">
        <v>7.0000000000000007E-2</v>
      </c>
      <c r="C23" s="33">
        <v>0.17</v>
      </c>
      <c r="D23" s="33">
        <v>0.17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53"/>
      <c r="C24" s="54">
        <v>1.1000000000000001</v>
      </c>
      <c r="D24" s="54">
        <v>1.08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53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53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46.33</v>
      </c>
      <c r="D27" s="53">
        <v>45.61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1.52</v>
      </c>
      <c r="D28" s="54">
        <v>1.52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8">
        <v>0.1</v>
      </c>
      <c r="C29" s="58">
        <v>5.3</v>
      </c>
      <c r="D29" s="58">
        <v>6.3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54">
        <v>0.02</v>
      </c>
      <c r="C30" s="53">
        <v>0.02</v>
      </c>
      <c r="D30" s="53">
        <v>0.03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23" t="s">
        <v>66</v>
      </c>
      <c r="B31" s="53"/>
      <c r="C31" s="53" t="s">
        <v>107</v>
      </c>
      <c r="D31" s="53" t="s">
        <v>93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53">
        <v>0.35</v>
      </c>
      <c r="C32" s="54">
        <v>1.31</v>
      </c>
      <c r="D32" s="53">
        <v>1.02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53"/>
      <c r="C33" s="53" t="s">
        <v>69</v>
      </c>
      <c r="D33" s="53" t="s">
        <v>69</v>
      </c>
      <c r="E33" s="29"/>
      <c r="F33" s="30"/>
      <c r="G33" s="17"/>
      <c r="H33" s="18"/>
      <c r="I33" s="18"/>
    </row>
    <row r="34" spans="1:9" ht="20.100000000000001" customHeight="1">
      <c r="A34" s="65" t="s">
        <v>191</v>
      </c>
      <c r="B34" s="53">
        <v>140</v>
      </c>
      <c r="C34" s="53">
        <v>370</v>
      </c>
      <c r="D34" s="53">
        <v>310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58</v>
      </c>
      <c r="C35" s="53">
        <v>10</v>
      </c>
      <c r="D35" s="53">
        <v>5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0.1</v>
      </c>
      <c r="C36" s="54">
        <v>0.27</v>
      </c>
      <c r="D36" s="53">
        <v>0.2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53"/>
      <c r="C37" s="54">
        <f>C14/B14</f>
        <v>8.282828282828282</v>
      </c>
      <c r="D37" s="54">
        <f>D14/B14</f>
        <v>7.9595959595959593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0.7</v>
      </c>
      <c r="D38" s="53">
        <v>0.63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4">
        <v>6.26</v>
      </c>
      <c r="D39" s="54">
        <v>6.36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81"/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B6:D6"/>
    <mergeCell ref="G6:I6"/>
    <mergeCell ref="A7:A8"/>
    <mergeCell ref="B7:B8"/>
    <mergeCell ref="C7:C8"/>
    <mergeCell ref="D7:D8"/>
    <mergeCell ref="G9:G10"/>
    <mergeCell ref="H9:H10"/>
    <mergeCell ref="I9:I10"/>
    <mergeCell ref="G11:G12"/>
    <mergeCell ref="H11:H12"/>
    <mergeCell ref="I11:I12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A50:C50"/>
    <mergeCell ref="D50:F50"/>
    <mergeCell ref="G50:I50"/>
    <mergeCell ref="A51:C51"/>
    <mergeCell ref="D51:F51"/>
    <mergeCell ref="G51:I51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0873-79C3-431D-BE61-D1B91BEB5C60}">
  <dimension ref="A1:I51"/>
  <sheetViews>
    <sheetView zoomScale="93" zoomScaleNormal="93" workbookViewId="0">
      <selection activeCell="N35" sqref="N35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96</v>
      </c>
      <c r="C4" s="8" t="s">
        <v>141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7.83</v>
      </c>
      <c r="C9" s="33">
        <v>7.68</v>
      </c>
      <c r="D9" s="33">
        <v>7.64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300</v>
      </c>
      <c r="C10" s="28">
        <v>2270</v>
      </c>
      <c r="D10" s="28">
        <v>2290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225</v>
      </c>
      <c r="C11" s="28">
        <v>1700</v>
      </c>
      <c r="D11" s="28">
        <v>1720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103</v>
      </c>
      <c r="C12" s="28">
        <v>63</v>
      </c>
      <c r="D12" s="28">
        <v>59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158</v>
      </c>
      <c r="C13" s="53">
        <v>1186</v>
      </c>
      <c r="D13" s="53">
        <v>1206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103</v>
      </c>
      <c r="C14" s="53">
        <v>816</v>
      </c>
      <c r="D14" s="53">
        <v>820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55</v>
      </c>
      <c r="C15" s="53">
        <f>C13-C14</f>
        <v>370</v>
      </c>
      <c r="D15" s="53">
        <f>D13-D14</f>
        <v>386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11</v>
      </c>
      <c r="C16" s="53">
        <v>106</v>
      </c>
      <c r="D16" s="53">
        <v>107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62.1</v>
      </c>
      <c r="C17" s="53">
        <v>1123</v>
      </c>
      <c r="D17" s="53">
        <v>1062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8</v>
      </c>
      <c r="C18" s="53">
        <v>61</v>
      </c>
      <c r="D18" s="53">
        <v>62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3.25</v>
      </c>
      <c r="D19" s="33">
        <v>3.11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1.25</v>
      </c>
      <c r="D20" s="33">
        <v>1.3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2</v>
      </c>
      <c r="D21" s="33">
        <f>D19-D20</f>
        <v>1.8099999999999998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54">
        <v>1.1399999999999999</v>
      </c>
      <c r="D22" s="54">
        <v>1.18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33">
        <v>0.02</v>
      </c>
      <c r="C23" s="33">
        <v>0.09</v>
      </c>
      <c r="D23" s="33">
        <v>0.11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53"/>
      <c r="C24" s="54">
        <v>1.08</v>
      </c>
      <c r="D24" s="54">
        <v>1.05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53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53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46.64</v>
      </c>
      <c r="D27" s="53">
        <v>45.43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1.55</v>
      </c>
      <c r="D28" s="54">
        <v>1.51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8">
        <v>0.2</v>
      </c>
      <c r="C29" s="58">
        <v>4</v>
      </c>
      <c r="D29" s="58">
        <v>5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54">
        <v>0.02</v>
      </c>
      <c r="C30" s="53">
        <v>0.04</v>
      </c>
      <c r="D30" s="53">
        <v>0.03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23" t="s">
        <v>66</v>
      </c>
      <c r="B31" s="53"/>
      <c r="C31" s="53" t="s">
        <v>107</v>
      </c>
      <c r="D31" s="53" t="s">
        <v>107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53">
        <v>0.2</v>
      </c>
      <c r="C32" s="54">
        <v>1.84</v>
      </c>
      <c r="D32" s="53">
        <v>1.66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53"/>
      <c r="C33" s="53" t="s">
        <v>69</v>
      </c>
      <c r="D33" s="53" t="s">
        <v>69</v>
      </c>
      <c r="E33" s="29"/>
      <c r="F33" s="30"/>
      <c r="G33" s="17"/>
      <c r="H33" s="18"/>
      <c r="I33" s="18"/>
    </row>
    <row r="34" spans="1:9" ht="20.100000000000001" customHeight="1">
      <c r="A34" s="65" t="s">
        <v>191</v>
      </c>
      <c r="B34" s="53">
        <v>110</v>
      </c>
      <c r="C34" s="53">
        <v>330</v>
      </c>
      <c r="D34" s="53">
        <v>370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44</v>
      </c>
      <c r="C35" s="53">
        <v>6</v>
      </c>
      <c r="D35" s="53">
        <v>3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0.02</v>
      </c>
      <c r="C36" s="54">
        <v>0.23</v>
      </c>
      <c r="D36" s="53">
        <v>0.25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53"/>
      <c r="C37" s="54">
        <f>C14/B14</f>
        <v>7.9223300970873787</v>
      </c>
      <c r="D37" s="54">
        <f>D14/B14</f>
        <v>7.9611650485436893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0.71</v>
      </c>
      <c r="D38" s="53">
        <v>0.65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4">
        <v>6.26</v>
      </c>
      <c r="D39" s="54">
        <v>6.33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81"/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651F-C327-4D50-97F4-3ACFEB61C8F6}">
  <dimension ref="A1:I51"/>
  <sheetViews>
    <sheetView topLeftCell="A16" zoomScale="93" zoomScaleNormal="93" workbookViewId="0">
      <selection activeCell="D27" sqref="D27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96</v>
      </c>
      <c r="C4" s="8" t="s">
        <v>144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7.73</v>
      </c>
      <c r="C9" s="33">
        <v>7.7</v>
      </c>
      <c r="D9" s="33">
        <v>7.65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300</v>
      </c>
      <c r="C10" s="28">
        <v>2270</v>
      </c>
      <c r="D10" s="28">
        <v>2250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225</v>
      </c>
      <c r="C11" s="28">
        <v>1700</v>
      </c>
      <c r="D11" s="28">
        <v>1685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99</v>
      </c>
      <c r="C12" s="28">
        <v>61</v>
      </c>
      <c r="D12" s="28">
        <v>57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155</v>
      </c>
      <c r="C13" s="53">
        <v>1192</v>
      </c>
      <c r="D13" s="53">
        <v>1188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102</v>
      </c>
      <c r="C14" s="53">
        <v>808</v>
      </c>
      <c r="D14" s="53">
        <v>794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53</v>
      </c>
      <c r="C15" s="53">
        <f>C13-C14</f>
        <v>384</v>
      </c>
      <c r="D15" s="53">
        <f>D13-D14</f>
        <v>394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12</v>
      </c>
      <c r="C16" s="53">
        <v>114</v>
      </c>
      <c r="D16" s="53">
        <v>116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60.3</v>
      </c>
      <c r="C17" s="53">
        <v>1075</v>
      </c>
      <c r="D17" s="53">
        <v>1069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8</v>
      </c>
      <c r="C18" s="53">
        <v>62</v>
      </c>
      <c r="D18" s="53">
        <v>61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2.65</v>
      </c>
      <c r="D19" s="33">
        <v>3.34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1.29</v>
      </c>
      <c r="D20" s="33">
        <v>1.38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1.3599999999999999</v>
      </c>
      <c r="D21" s="33">
        <f>D19-D20</f>
        <v>1.96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54">
        <v>1.17</v>
      </c>
      <c r="D22" s="54">
        <v>1.24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33">
        <v>0.03</v>
      </c>
      <c r="C23" s="33">
        <v>0.14000000000000001</v>
      </c>
      <c r="D23" s="33">
        <v>0.12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53"/>
      <c r="C24" s="54">
        <v>1.02</v>
      </c>
      <c r="D24" s="54">
        <v>1.06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53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53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45.31</v>
      </c>
      <c r="D27" s="54">
        <v>46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1.54</v>
      </c>
      <c r="D28" s="54">
        <v>1.58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8">
        <v>0.5</v>
      </c>
      <c r="C29" s="58">
        <v>6.3</v>
      </c>
      <c r="D29" s="58">
        <v>4.3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54">
        <v>0.04</v>
      </c>
      <c r="C30" s="53">
        <v>0.04</v>
      </c>
      <c r="D30" s="53">
        <v>0.03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23" t="s">
        <v>66</v>
      </c>
      <c r="B31" s="53"/>
      <c r="C31" s="53" t="s">
        <v>109</v>
      </c>
      <c r="D31" s="53" t="s">
        <v>107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53">
        <v>0.35</v>
      </c>
      <c r="C32" s="54">
        <v>2.19</v>
      </c>
      <c r="D32" s="53">
        <v>1.83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53"/>
      <c r="C33" s="53" t="s">
        <v>69</v>
      </c>
      <c r="D33" s="53" t="s">
        <v>69</v>
      </c>
      <c r="E33" s="29"/>
      <c r="F33" s="30"/>
      <c r="G33" s="17"/>
      <c r="H33" s="18"/>
      <c r="I33" s="18"/>
    </row>
    <row r="34" spans="1:9" ht="20.100000000000001" customHeight="1">
      <c r="A34" s="65" t="s">
        <v>191</v>
      </c>
      <c r="B34" s="53">
        <v>120</v>
      </c>
      <c r="C34" s="53">
        <v>380</v>
      </c>
      <c r="D34" s="53">
        <v>310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52</v>
      </c>
      <c r="C35" s="53">
        <v>10</v>
      </c>
      <c r="D35" s="53">
        <v>5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0.12</v>
      </c>
      <c r="C36" s="54">
        <v>0.28000000000000003</v>
      </c>
      <c r="D36" s="53">
        <v>0.35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53"/>
      <c r="C37" s="54">
        <f>C14/B14</f>
        <v>7.9215686274509807</v>
      </c>
      <c r="D37" s="54">
        <f>D14/B14</f>
        <v>7.784313725490196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0.69</v>
      </c>
      <c r="D38" s="53">
        <v>0.63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4">
        <v>6.32</v>
      </c>
      <c r="D39" s="54">
        <v>6.4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81"/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A43:A49"/>
    <mergeCell ref="B43:I49"/>
    <mergeCell ref="G15:G16"/>
    <mergeCell ref="G17:G18"/>
    <mergeCell ref="G19:G20"/>
    <mergeCell ref="G23:G24"/>
    <mergeCell ref="G25:G26"/>
    <mergeCell ref="G37:H37"/>
    <mergeCell ref="G38:H38"/>
    <mergeCell ref="G39:H39"/>
    <mergeCell ref="G40:H40"/>
    <mergeCell ref="G41:H41"/>
    <mergeCell ref="G42:H42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3090-0512-4A6D-B69A-99A9785008C3}">
  <dimension ref="A1:I51"/>
  <sheetViews>
    <sheetView tabSelected="1" zoomScale="93" zoomScaleNormal="93" workbookViewId="0">
      <selection activeCell="C24" sqref="C24"/>
    </sheetView>
  </sheetViews>
  <sheetFormatPr defaultRowHeight="15"/>
  <cols>
    <col min="1" max="1" width="27.125" style="3" customWidth="1"/>
    <col min="2" max="9" width="15.625" style="3" customWidth="1"/>
    <col min="10" max="256" width="9" style="3"/>
    <col min="257" max="257" width="27.125" style="3" customWidth="1"/>
    <col min="258" max="265" width="15.625" style="3" customWidth="1"/>
    <col min="266" max="512" width="9" style="3"/>
    <col min="513" max="513" width="27.125" style="3" customWidth="1"/>
    <col min="514" max="521" width="15.625" style="3" customWidth="1"/>
    <col min="522" max="768" width="9" style="3"/>
    <col min="769" max="769" width="27.125" style="3" customWidth="1"/>
    <col min="770" max="777" width="15.625" style="3" customWidth="1"/>
    <col min="778" max="1024" width="9" style="3"/>
    <col min="1025" max="1025" width="27.125" style="3" customWidth="1"/>
    <col min="1026" max="1033" width="15.625" style="3" customWidth="1"/>
    <col min="1034" max="1280" width="9" style="3"/>
    <col min="1281" max="1281" width="27.125" style="3" customWidth="1"/>
    <col min="1282" max="1289" width="15.625" style="3" customWidth="1"/>
    <col min="1290" max="1536" width="9" style="3"/>
    <col min="1537" max="1537" width="27.125" style="3" customWidth="1"/>
    <col min="1538" max="1545" width="15.625" style="3" customWidth="1"/>
    <col min="1546" max="1792" width="9" style="3"/>
    <col min="1793" max="1793" width="27.125" style="3" customWidth="1"/>
    <col min="1794" max="1801" width="15.625" style="3" customWidth="1"/>
    <col min="1802" max="2048" width="9" style="3"/>
    <col min="2049" max="2049" width="27.125" style="3" customWidth="1"/>
    <col min="2050" max="2057" width="15.625" style="3" customWidth="1"/>
    <col min="2058" max="2304" width="9" style="3"/>
    <col min="2305" max="2305" width="27.125" style="3" customWidth="1"/>
    <col min="2306" max="2313" width="15.625" style="3" customWidth="1"/>
    <col min="2314" max="2560" width="9" style="3"/>
    <col min="2561" max="2561" width="27.125" style="3" customWidth="1"/>
    <col min="2562" max="2569" width="15.625" style="3" customWidth="1"/>
    <col min="2570" max="2816" width="9" style="3"/>
    <col min="2817" max="2817" width="27.125" style="3" customWidth="1"/>
    <col min="2818" max="2825" width="15.625" style="3" customWidth="1"/>
    <col min="2826" max="3072" width="9" style="3"/>
    <col min="3073" max="3073" width="27.125" style="3" customWidth="1"/>
    <col min="3074" max="3081" width="15.625" style="3" customWidth="1"/>
    <col min="3082" max="3328" width="9" style="3"/>
    <col min="3329" max="3329" width="27.125" style="3" customWidth="1"/>
    <col min="3330" max="3337" width="15.625" style="3" customWidth="1"/>
    <col min="3338" max="3584" width="9" style="3"/>
    <col min="3585" max="3585" width="27.125" style="3" customWidth="1"/>
    <col min="3586" max="3593" width="15.625" style="3" customWidth="1"/>
    <col min="3594" max="3840" width="9" style="3"/>
    <col min="3841" max="3841" width="27.125" style="3" customWidth="1"/>
    <col min="3842" max="3849" width="15.625" style="3" customWidth="1"/>
    <col min="3850" max="4096" width="9" style="3"/>
    <col min="4097" max="4097" width="27.125" style="3" customWidth="1"/>
    <col min="4098" max="4105" width="15.625" style="3" customWidth="1"/>
    <col min="4106" max="4352" width="9" style="3"/>
    <col min="4353" max="4353" width="27.125" style="3" customWidth="1"/>
    <col min="4354" max="4361" width="15.625" style="3" customWidth="1"/>
    <col min="4362" max="4608" width="9" style="3"/>
    <col min="4609" max="4609" width="27.125" style="3" customWidth="1"/>
    <col min="4610" max="4617" width="15.625" style="3" customWidth="1"/>
    <col min="4618" max="4864" width="9" style="3"/>
    <col min="4865" max="4865" width="27.125" style="3" customWidth="1"/>
    <col min="4866" max="4873" width="15.625" style="3" customWidth="1"/>
    <col min="4874" max="5120" width="9" style="3"/>
    <col min="5121" max="5121" width="27.125" style="3" customWidth="1"/>
    <col min="5122" max="5129" width="15.625" style="3" customWidth="1"/>
    <col min="5130" max="5376" width="9" style="3"/>
    <col min="5377" max="5377" width="27.125" style="3" customWidth="1"/>
    <col min="5378" max="5385" width="15.625" style="3" customWidth="1"/>
    <col min="5386" max="5632" width="9" style="3"/>
    <col min="5633" max="5633" width="27.125" style="3" customWidth="1"/>
    <col min="5634" max="5641" width="15.625" style="3" customWidth="1"/>
    <col min="5642" max="5888" width="9" style="3"/>
    <col min="5889" max="5889" width="27.125" style="3" customWidth="1"/>
    <col min="5890" max="5897" width="15.625" style="3" customWidth="1"/>
    <col min="5898" max="6144" width="9" style="3"/>
    <col min="6145" max="6145" width="27.125" style="3" customWidth="1"/>
    <col min="6146" max="6153" width="15.625" style="3" customWidth="1"/>
    <col min="6154" max="6400" width="9" style="3"/>
    <col min="6401" max="6401" width="27.125" style="3" customWidth="1"/>
    <col min="6402" max="6409" width="15.625" style="3" customWidth="1"/>
    <col min="6410" max="6656" width="9" style="3"/>
    <col min="6657" max="6657" width="27.125" style="3" customWidth="1"/>
    <col min="6658" max="6665" width="15.625" style="3" customWidth="1"/>
    <col min="6666" max="6912" width="9" style="3"/>
    <col min="6913" max="6913" width="27.125" style="3" customWidth="1"/>
    <col min="6914" max="6921" width="15.625" style="3" customWidth="1"/>
    <col min="6922" max="7168" width="9" style="3"/>
    <col min="7169" max="7169" width="27.125" style="3" customWidth="1"/>
    <col min="7170" max="7177" width="15.625" style="3" customWidth="1"/>
    <col min="7178" max="7424" width="9" style="3"/>
    <col min="7425" max="7425" width="27.125" style="3" customWidth="1"/>
    <col min="7426" max="7433" width="15.625" style="3" customWidth="1"/>
    <col min="7434" max="7680" width="9" style="3"/>
    <col min="7681" max="7681" width="27.125" style="3" customWidth="1"/>
    <col min="7682" max="7689" width="15.625" style="3" customWidth="1"/>
    <col min="7690" max="7936" width="9" style="3"/>
    <col min="7937" max="7937" width="27.125" style="3" customWidth="1"/>
    <col min="7938" max="7945" width="15.625" style="3" customWidth="1"/>
    <col min="7946" max="8192" width="9" style="3"/>
    <col min="8193" max="8193" width="27.125" style="3" customWidth="1"/>
    <col min="8194" max="8201" width="15.625" style="3" customWidth="1"/>
    <col min="8202" max="8448" width="9" style="3"/>
    <col min="8449" max="8449" width="27.125" style="3" customWidth="1"/>
    <col min="8450" max="8457" width="15.625" style="3" customWidth="1"/>
    <col min="8458" max="8704" width="9" style="3"/>
    <col min="8705" max="8705" width="27.125" style="3" customWidth="1"/>
    <col min="8706" max="8713" width="15.625" style="3" customWidth="1"/>
    <col min="8714" max="8960" width="9" style="3"/>
    <col min="8961" max="8961" width="27.125" style="3" customWidth="1"/>
    <col min="8962" max="8969" width="15.625" style="3" customWidth="1"/>
    <col min="8970" max="9216" width="9" style="3"/>
    <col min="9217" max="9217" width="27.125" style="3" customWidth="1"/>
    <col min="9218" max="9225" width="15.625" style="3" customWidth="1"/>
    <col min="9226" max="9472" width="9" style="3"/>
    <col min="9473" max="9473" width="27.125" style="3" customWidth="1"/>
    <col min="9474" max="9481" width="15.625" style="3" customWidth="1"/>
    <col min="9482" max="9728" width="9" style="3"/>
    <col min="9729" max="9729" width="27.125" style="3" customWidth="1"/>
    <col min="9730" max="9737" width="15.625" style="3" customWidth="1"/>
    <col min="9738" max="9984" width="9" style="3"/>
    <col min="9985" max="9985" width="27.125" style="3" customWidth="1"/>
    <col min="9986" max="9993" width="15.625" style="3" customWidth="1"/>
    <col min="9994" max="10240" width="9" style="3"/>
    <col min="10241" max="10241" width="27.125" style="3" customWidth="1"/>
    <col min="10242" max="10249" width="15.625" style="3" customWidth="1"/>
    <col min="10250" max="10496" width="9" style="3"/>
    <col min="10497" max="10497" width="27.125" style="3" customWidth="1"/>
    <col min="10498" max="10505" width="15.625" style="3" customWidth="1"/>
    <col min="10506" max="10752" width="9" style="3"/>
    <col min="10753" max="10753" width="27.125" style="3" customWidth="1"/>
    <col min="10754" max="10761" width="15.625" style="3" customWidth="1"/>
    <col min="10762" max="11008" width="9" style="3"/>
    <col min="11009" max="11009" width="27.125" style="3" customWidth="1"/>
    <col min="11010" max="11017" width="15.625" style="3" customWidth="1"/>
    <col min="11018" max="11264" width="9" style="3"/>
    <col min="11265" max="11265" width="27.125" style="3" customWidth="1"/>
    <col min="11266" max="11273" width="15.625" style="3" customWidth="1"/>
    <col min="11274" max="11520" width="9" style="3"/>
    <col min="11521" max="11521" width="27.125" style="3" customWidth="1"/>
    <col min="11522" max="11529" width="15.625" style="3" customWidth="1"/>
    <col min="11530" max="11776" width="9" style="3"/>
    <col min="11777" max="11777" width="27.125" style="3" customWidth="1"/>
    <col min="11778" max="11785" width="15.625" style="3" customWidth="1"/>
    <col min="11786" max="12032" width="9" style="3"/>
    <col min="12033" max="12033" width="27.125" style="3" customWidth="1"/>
    <col min="12034" max="12041" width="15.625" style="3" customWidth="1"/>
    <col min="12042" max="12288" width="9" style="3"/>
    <col min="12289" max="12289" width="27.125" style="3" customWidth="1"/>
    <col min="12290" max="12297" width="15.625" style="3" customWidth="1"/>
    <col min="12298" max="12544" width="9" style="3"/>
    <col min="12545" max="12545" width="27.125" style="3" customWidth="1"/>
    <col min="12546" max="12553" width="15.625" style="3" customWidth="1"/>
    <col min="12554" max="12800" width="9" style="3"/>
    <col min="12801" max="12801" width="27.125" style="3" customWidth="1"/>
    <col min="12802" max="12809" width="15.625" style="3" customWidth="1"/>
    <col min="12810" max="13056" width="9" style="3"/>
    <col min="13057" max="13057" width="27.125" style="3" customWidth="1"/>
    <col min="13058" max="13065" width="15.625" style="3" customWidth="1"/>
    <col min="13066" max="13312" width="9" style="3"/>
    <col min="13313" max="13313" width="27.125" style="3" customWidth="1"/>
    <col min="13314" max="13321" width="15.625" style="3" customWidth="1"/>
    <col min="13322" max="13568" width="9" style="3"/>
    <col min="13569" max="13569" width="27.125" style="3" customWidth="1"/>
    <col min="13570" max="13577" width="15.625" style="3" customWidth="1"/>
    <col min="13578" max="13824" width="9" style="3"/>
    <col min="13825" max="13825" width="27.125" style="3" customWidth="1"/>
    <col min="13826" max="13833" width="15.625" style="3" customWidth="1"/>
    <col min="13834" max="14080" width="9" style="3"/>
    <col min="14081" max="14081" width="27.125" style="3" customWidth="1"/>
    <col min="14082" max="14089" width="15.625" style="3" customWidth="1"/>
    <col min="14090" max="14336" width="9" style="3"/>
    <col min="14337" max="14337" width="27.125" style="3" customWidth="1"/>
    <col min="14338" max="14345" width="15.625" style="3" customWidth="1"/>
    <col min="14346" max="14592" width="9" style="3"/>
    <col min="14593" max="14593" width="27.125" style="3" customWidth="1"/>
    <col min="14594" max="14601" width="15.625" style="3" customWidth="1"/>
    <col min="14602" max="14848" width="9" style="3"/>
    <col min="14849" max="14849" width="27.125" style="3" customWidth="1"/>
    <col min="14850" max="14857" width="15.625" style="3" customWidth="1"/>
    <col min="14858" max="15104" width="9" style="3"/>
    <col min="15105" max="15105" width="27.125" style="3" customWidth="1"/>
    <col min="15106" max="15113" width="15.625" style="3" customWidth="1"/>
    <col min="15114" max="15360" width="9" style="3"/>
    <col min="15361" max="15361" width="27.125" style="3" customWidth="1"/>
    <col min="15362" max="15369" width="15.625" style="3" customWidth="1"/>
    <col min="15370" max="15616" width="9" style="3"/>
    <col min="15617" max="15617" width="27.125" style="3" customWidth="1"/>
    <col min="15618" max="15625" width="15.625" style="3" customWidth="1"/>
    <col min="15626" max="15872" width="9" style="3"/>
    <col min="15873" max="15873" width="27.125" style="3" customWidth="1"/>
    <col min="15874" max="15881" width="15.625" style="3" customWidth="1"/>
    <col min="15882" max="16128" width="9" style="3"/>
    <col min="16129" max="16129" width="27.125" style="3" customWidth="1"/>
    <col min="16130" max="16137" width="15.625" style="3" customWidth="1"/>
    <col min="16138" max="16384" width="9" style="3"/>
  </cols>
  <sheetData>
    <row r="1" spans="1:9" ht="30.75" customHeight="1" thickBot="1">
      <c r="A1" s="32" t="s">
        <v>95</v>
      </c>
      <c r="B1" s="1"/>
      <c r="C1" s="1"/>
      <c r="D1" s="1"/>
      <c r="E1" s="1"/>
      <c r="F1" s="1"/>
      <c r="G1" s="1"/>
      <c r="H1" s="1"/>
      <c r="I1" s="2"/>
    </row>
    <row r="2" spans="1:9" ht="20.25" customHeight="1">
      <c r="A2" s="4" t="s">
        <v>0</v>
      </c>
      <c r="B2" s="1"/>
      <c r="C2" s="1"/>
      <c r="D2" s="1"/>
      <c r="E2" s="1"/>
      <c r="F2" s="1"/>
      <c r="G2" s="1"/>
      <c r="H2" s="1"/>
      <c r="I2" s="2"/>
    </row>
    <row r="3" spans="1:9" ht="20.25" customHeight="1">
      <c r="A3" s="5" t="s">
        <v>1</v>
      </c>
      <c r="B3" s="3" t="s">
        <v>2</v>
      </c>
      <c r="I3" s="6"/>
    </row>
    <row r="4" spans="1:9" ht="20.25" customHeight="1" thickBot="1">
      <c r="A4" s="7" t="s">
        <v>166</v>
      </c>
      <c r="B4" s="8" t="s">
        <v>96</v>
      </c>
      <c r="C4" s="8" t="s">
        <v>146</v>
      </c>
      <c r="D4" s="9"/>
      <c r="E4" s="9"/>
      <c r="F4" s="9"/>
      <c r="G4" s="9"/>
      <c r="H4" s="9"/>
      <c r="I4" s="10"/>
    </row>
    <row r="5" spans="1:9" ht="17.25" customHeight="1">
      <c r="A5" s="11"/>
      <c r="B5" s="1"/>
      <c r="C5" s="1"/>
      <c r="D5" s="1"/>
      <c r="E5" s="1"/>
      <c r="F5" s="1"/>
      <c r="G5" s="1"/>
      <c r="H5" s="1"/>
      <c r="I5" s="2"/>
    </row>
    <row r="6" spans="1:9" ht="30" customHeight="1">
      <c r="A6" s="12" t="s">
        <v>6</v>
      </c>
      <c r="B6" s="66" t="s">
        <v>7</v>
      </c>
      <c r="C6" s="67"/>
      <c r="D6" s="67"/>
      <c r="E6" s="14"/>
      <c r="F6" s="15" t="s">
        <v>8</v>
      </c>
      <c r="G6" s="68"/>
      <c r="H6" s="68"/>
      <c r="I6" s="66"/>
    </row>
    <row r="7" spans="1:9" ht="17.25" customHeight="1">
      <c r="A7" s="69" t="s">
        <v>9</v>
      </c>
      <c r="B7" s="71" t="s">
        <v>10</v>
      </c>
      <c r="C7" s="73" t="s">
        <v>11</v>
      </c>
      <c r="D7" s="73" t="s">
        <v>12</v>
      </c>
      <c r="E7" s="57"/>
      <c r="F7" s="56" t="s">
        <v>142</v>
      </c>
      <c r="G7" s="55"/>
      <c r="H7" s="55"/>
      <c r="I7" s="13"/>
    </row>
    <row r="8" spans="1:9" ht="30" customHeight="1">
      <c r="A8" s="70"/>
      <c r="B8" s="72"/>
      <c r="C8" s="74"/>
      <c r="D8" s="74"/>
      <c r="E8" s="26"/>
      <c r="F8" s="27"/>
      <c r="G8" s="17"/>
      <c r="H8" s="14" t="s">
        <v>13</v>
      </c>
      <c r="I8" s="14" t="s">
        <v>14</v>
      </c>
    </row>
    <row r="9" spans="1:9" ht="21" customHeight="1">
      <c r="A9" s="18" t="s">
        <v>15</v>
      </c>
      <c r="B9" s="33">
        <v>7.8</v>
      </c>
      <c r="C9" s="33">
        <v>7.7</v>
      </c>
      <c r="D9" s="33">
        <v>7.62</v>
      </c>
      <c r="E9" s="29"/>
      <c r="F9" s="30" t="s">
        <v>17</v>
      </c>
      <c r="G9" s="75" t="s">
        <v>18</v>
      </c>
      <c r="H9" s="77"/>
      <c r="I9" s="77"/>
    </row>
    <row r="10" spans="1:9" ht="30" customHeight="1">
      <c r="A10" s="19" t="s">
        <v>19</v>
      </c>
      <c r="B10" s="28">
        <v>300</v>
      </c>
      <c r="C10" s="28">
        <v>2320</v>
      </c>
      <c r="D10" s="28">
        <v>2290</v>
      </c>
      <c r="E10" s="29"/>
      <c r="F10" s="30"/>
      <c r="G10" s="76"/>
      <c r="H10" s="67"/>
      <c r="I10" s="67"/>
    </row>
    <row r="11" spans="1:9" ht="30" customHeight="1">
      <c r="A11" s="19" t="s">
        <v>21</v>
      </c>
      <c r="B11" s="31">
        <v>225</v>
      </c>
      <c r="C11" s="28">
        <v>1740</v>
      </c>
      <c r="D11" s="28">
        <v>1715</v>
      </c>
      <c r="E11" s="29"/>
      <c r="F11" s="30"/>
      <c r="G11" s="78" t="s">
        <v>22</v>
      </c>
      <c r="H11" s="67"/>
      <c r="I11" s="67"/>
    </row>
    <row r="12" spans="1:9" ht="30" customHeight="1">
      <c r="A12" s="19" t="s">
        <v>23</v>
      </c>
      <c r="B12" s="28">
        <v>93</v>
      </c>
      <c r="C12" s="28">
        <v>63</v>
      </c>
      <c r="D12" s="28">
        <v>51</v>
      </c>
      <c r="E12" s="29"/>
      <c r="F12" s="30"/>
      <c r="G12" s="76"/>
      <c r="H12" s="67"/>
      <c r="I12" s="67"/>
    </row>
    <row r="13" spans="1:9" ht="30" customHeight="1">
      <c r="A13" s="19" t="s">
        <v>24</v>
      </c>
      <c r="B13" s="28">
        <v>150</v>
      </c>
      <c r="C13" s="53">
        <v>1210</v>
      </c>
      <c r="D13" s="53">
        <v>1212</v>
      </c>
      <c r="E13" s="29"/>
      <c r="F13" s="30"/>
      <c r="G13" s="22" t="s">
        <v>25</v>
      </c>
      <c r="H13" s="18"/>
      <c r="I13" s="18"/>
    </row>
    <row r="14" spans="1:9" ht="30" customHeight="1">
      <c r="A14" s="19" t="s">
        <v>26</v>
      </c>
      <c r="B14" s="28">
        <v>98</v>
      </c>
      <c r="C14" s="53">
        <v>828</v>
      </c>
      <c r="D14" s="53">
        <v>804</v>
      </c>
      <c r="E14" s="29"/>
      <c r="F14" s="30" t="s">
        <v>28</v>
      </c>
      <c r="G14" s="22" t="s">
        <v>29</v>
      </c>
      <c r="H14" s="18"/>
      <c r="I14" s="18"/>
    </row>
    <row r="15" spans="1:9" ht="30" customHeight="1">
      <c r="A15" s="19" t="s">
        <v>30</v>
      </c>
      <c r="B15" s="28">
        <f>B13-B14</f>
        <v>52</v>
      </c>
      <c r="C15" s="53">
        <f>C13-C14</f>
        <v>382</v>
      </c>
      <c r="D15" s="53">
        <f>D13-D14</f>
        <v>408</v>
      </c>
      <c r="E15" s="29"/>
      <c r="F15" s="30"/>
      <c r="G15" s="78" t="s">
        <v>31</v>
      </c>
      <c r="H15" s="18"/>
      <c r="I15" s="18"/>
    </row>
    <row r="16" spans="1:9" ht="30" customHeight="1">
      <c r="A16" s="19" t="s">
        <v>32</v>
      </c>
      <c r="B16" s="28">
        <v>13</v>
      </c>
      <c r="C16" s="53">
        <v>113</v>
      </c>
      <c r="D16" s="53">
        <v>116</v>
      </c>
      <c r="E16" s="29"/>
      <c r="F16" s="30" t="s">
        <v>34</v>
      </c>
      <c r="G16" s="76"/>
      <c r="H16" s="18"/>
      <c r="I16" s="18"/>
    </row>
    <row r="17" spans="1:9" ht="30" customHeight="1">
      <c r="A17" s="19" t="s">
        <v>35</v>
      </c>
      <c r="B17" s="28">
        <v>59.5</v>
      </c>
      <c r="C17" s="53">
        <v>1104</v>
      </c>
      <c r="D17" s="53">
        <v>1008</v>
      </c>
      <c r="E17" s="29"/>
      <c r="F17" s="30"/>
      <c r="G17" s="78" t="s">
        <v>36</v>
      </c>
      <c r="H17" s="18"/>
      <c r="I17" s="18"/>
    </row>
    <row r="18" spans="1:9" ht="30" customHeight="1">
      <c r="A18" s="19" t="s">
        <v>37</v>
      </c>
      <c r="B18" s="28">
        <v>11</v>
      </c>
      <c r="C18" s="53">
        <v>60</v>
      </c>
      <c r="D18" s="53">
        <v>62</v>
      </c>
      <c r="E18" s="29"/>
      <c r="F18" s="30" t="s">
        <v>39</v>
      </c>
      <c r="G18" s="76"/>
      <c r="H18" s="18"/>
      <c r="I18" s="18"/>
    </row>
    <row r="19" spans="1:9" ht="30" customHeight="1">
      <c r="A19" s="19" t="s">
        <v>40</v>
      </c>
      <c r="B19" s="28"/>
      <c r="C19" s="33">
        <v>3.08</v>
      </c>
      <c r="D19" s="33">
        <v>3.21</v>
      </c>
      <c r="E19" s="29"/>
      <c r="F19" s="30"/>
      <c r="G19" s="78" t="s">
        <v>41</v>
      </c>
      <c r="H19" s="18"/>
      <c r="I19" s="18"/>
    </row>
    <row r="20" spans="1:9" ht="30" customHeight="1">
      <c r="A20" s="19" t="s">
        <v>42</v>
      </c>
      <c r="B20" s="28"/>
      <c r="C20" s="33">
        <v>1.32</v>
      </c>
      <c r="D20" s="33">
        <v>1.42</v>
      </c>
      <c r="E20" s="29"/>
      <c r="F20" s="30"/>
      <c r="G20" s="76"/>
      <c r="H20" s="18"/>
      <c r="I20" s="18"/>
    </row>
    <row r="21" spans="1:9" ht="30" customHeight="1">
      <c r="A21" s="19" t="s">
        <v>43</v>
      </c>
      <c r="B21" s="28"/>
      <c r="C21" s="33">
        <f>C19-C20</f>
        <v>1.76</v>
      </c>
      <c r="D21" s="33">
        <f>D19-D20</f>
        <v>1.79</v>
      </c>
      <c r="E21" s="29"/>
      <c r="F21" s="30" t="s">
        <v>44</v>
      </c>
      <c r="G21" s="21" t="s">
        <v>45</v>
      </c>
      <c r="H21" s="18"/>
      <c r="I21" s="18"/>
    </row>
    <row r="22" spans="1:9" ht="30" customHeight="1">
      <c r="A22" s="19" t="s">
        <v>46</v>
      </c>
      <c r="B22" s="28"/>
      <c r="C22" s="54">
        <v>1.1399999999999999</v>
      </c>
      <c r="D22" s="54">
        <v>1.1599999999999999</v>
      </c>
      <c r="E22" s="29"/>
      <c r="F22" s="30" t="s">
        <v>44</v>
      </c>
      <c r="G22" s="20" t="s">
        <v>48</v>
      </c>
      <c r="H22" s="18"/>
      <c r="I22" s="18"/>
    </row>
    <row r="23" spans="1:9" ht="20.100000000000001" customHeight="1">
      <c r="A23" s="18" t="s">
        <v>49</v>
      </c>
      <c r="B23" s="33">
        <v>0.04</v>
      </c>
      <c r="C23" s="33">
        <v>0.14000000000000001</v>
      </c>
      <c r="D23" s="33">
        <v>0.13</v>
      </c>
      <c r="E23" s="29"/>
      <c r="F23" s="30" t="s">
        <v>51</v>
      </c>
      <c r="G23" s="78" t="s">
        <v>52</v>
      </c>
      <c r="H23" s="18"/>
      <c r="I23" s="18"/>
    </row>
    <row r="24" spans="1:9" ht="20.100000000000001" customHeight="1">
      <c r="A24" s="18" t="s">
        <v>53</v>
      </c>
      <c r="B24" s="53"/>
      <c r="C24" s="54">
        <v>1.02</v>
      </c>
      <c r="D24" s="54">
        <v>1.08</v>
      </c>
      <c r="E24" s="29"/>
      <c r="F24" s="30" t="s">
        <v>54</v>
      </c>
      <c r="G24" s="76"/>
      <c r="H24" s="18"/>
      <c r="I24" s="18"/>
    </row>
    <row r="25" spans="1:9" ht="20.100000000000001" customHeight="1">
      <c r="A25" s="18" t="s">
        <v>55</v>
      </c>
      <c r="B25" s="53"/>
      <c r="C25" s="53" t="s">
        <v>155</v>
      </c>
      <c r="D25" s="53" t="s">
        <v>155</v>
      </c>
      <c r="E25" s="29"/>
      <c r="F25" s="30"/>
      <c r="G25" s="78" t="s">
        <v>56</v>
      </c>
      <c r="H25" s="18"/>
      <c r="I25" s="18"/>
    </row>
    <row r="26" spans="1:9" ht="20.100000000000001" customHeight="1">
      <c r="A26" s="18"/>
      <c r="B26" s="53"/>
      <c r="C26" s="53"/>
      <c r="D26" s="53"/>
      <c r="E26" s="29"/>
      <c r="F26" s="30"/>
      <c r="G26" s="76"/>
      <c r="H26" s="18"/>
      <c r="I26" s="18"/>
    </row>
    <row r="27" spans="1:9" ht="20.100000000000001" customHeight="1">
      <c r="A27" s="18" t="s">
        <v>57</v>
      </c>
      <c r="B27" s="53"/>
      <c r="C27" s="54">
        <v>46.53</v>
      </c>
      <c r="D27" s="53">
        <v>45.21</v>
      </c>
      <c r="E27" s="60"/>
      <c r="F27" s="30" t="s">
        <v>58</v>
      </c>
      <c r="G27" s="13" t="s">
        <v>59</v>
      </c>
      <c r="H27" s="18"/>
      <c r="I27" s="18"/>
    </row>
    <row r="28" spans="1:9" ht="20.100000000000001" customHeight="1">
      <c r="A28" s="18" t="s">
        <v>60</v>
      </c>
      <c r="B28" s="53"/>
      <c r="C28" s="54">
        <v>1.55</v>
      </c>
      <c r="D28" s="54">
        <v>1.57</v>
      </c>
      <c r="E28" s="60"/>
      <c r="F28" s="30" t="s">
        <v>145</v>
      </c>
      <c r="G28" s="13" t="s">
        <v>61</v>
      </c>
      <c r="H28" s="18"/>
      <c r="I28" s="18"/>
    </row>
    <row r="29" spans="1:9" ht="20.100000000000001" customHeight="1">
      <c r="A29" s="18" t="s">
        <v>62</v>
      </c>
      <c r="B29" s="58">
        <v>0.5</v>
      </c>
      <c r="C29" s="58">
        <v>7</v>
      </c>
      <c r="D29" s="58">
        <v>4.3</v>
      </c>
      <c r="E29" s="60"/>
      <c r="F29" s="30" t="s">
        <v>63</v>
      </c>
      <c r="G29" s="17"/>
      <c r="H29" s="18"/>
      <c r="I29" s="18"/>
    </row>
    <row r="30" spans="1:9" ht="20.100000000000001" customHeight="1">
      <c r="A30" s="23" t="s">
        <v>64</v>
      </c>
      <c r="B30" s="54">
        <v>0.02</v>
      </c>
      <c r="C30" s="53">
        <v>0.05</v>
      </c>
      <c r="D30" s="53">
        <v>0.04</v>
      </c>
      <c r="E30" s="29"/>
      <c r="F30" s="30" t="s">
        <v>65</v>
      </c>
      <c r="G30" s="17"/>
      <c r="H30" s="18"/>
      <c r="I30" s="18"/>
    </row>
    <row r="31" spans="1:9" ht="20.100000000000001" customHeight="1">
      <c r="A31" s="23" t="s">
        <v>66</v>
      </c>
      <c r="B31" s="53"/>
      <c r="C31" s="53" t="s">
        <v>153</v>
      </c>
      <c r="D31" s="53" t="s">
        <v>192</v>
      </c>
      <c r="E31" s="29"/>
      <c r="F31" s="30" t="s">
        <v>94</v>
      </c>
      <c r="G31" s="17"/>
      <c r="H31" s="18"/>
      <c r="I31" s="18"/>
    </row>
    <row r="32" spans="1:9" ht="20.100000000000001" customHeight="1">
      <c r="A32" s="18" t="s">
        <v>67</v>
      </c>
      <c r="B32" s="53">
        <v>0.31</v>
      </c>
      <c r="C32" s="54">
        <v>2.23</v>
      </c>
      <c r="D32" s="53">
        <v>1.07</v>
      </c>
      <c r="E32" s="29"/>
      <c r="F32" s="30" t="s">
        <v>63</v>
      </c>
      <c r="G32" s="17"/>
      <c r="H32" s="18"/>
      <c r="I32" s="18"/>
    </row>
    <row r="33" spans="1:9" ht="20.100000000000001" customHeight="1">
      <c r="A33" s="18" t="s">
        <v>68</v>
      </c>
      <c r="B33" s="53"/>
      <c r="C33" s="53" t="s">
        <v>69</v>
      </c>
      <c r="D33" s="53" t="s">
        <v>69</v>
      </c>
      <c r="E33" s="29"/>
      <c r="F33" s="30"/>
      <c r="G33" s="17"/>
      <c r="H33" s="18"/>
      <c r="I33" s="18"/>
    </row>
    <row r="34" spans="1:9" ht="20.100000000000001" customHeight="1">
      <c r="A34" s="65" t="s">
        <v>191</v>
      </c>
      <c r="B34" s="53">
        <v>170</v>
      </c>
      <c r="C34" s="53">
        <v>420</v>
      </c>
      <c r="D34" s="53">
        <v>380</v>
      </c>
      <c r="E34" s="29"/>
      <c r="F34" s="30"/>
      <c r="G34" s="17"/>
      <c r="H34" s="18"/>
      <c r="I34" s="18"/>
    </row>
    <row r="35" spans="1:9" ht="20.100000000000001" customHeight="1">
      <c r="A35" s="18" t="s">
        <v>71</v>
      </c>
      <c r="B35" s="53">
        <v>47</v>
      </c>
      <c r="C35" s="53">
        <v>7</v>
      </c>
      <c r="D35" s="53">
        <v>8</v>
      </c>
      <c r="E35" s="29"/>
      <c r="F35" s="30"/>
      <c r="G35" s="17"/>
      <c r="H35" s="18"/>
      <c r="I35" s="18"/>
    </row>
    <row r="36" spans="1:9" ht="20.100000000000001" customHeight="1">
      <c r="A36" s="18" t="s">
        <v>72</v>
      </c>
      <c r="B36" s="53">
        <v>0.01</v>
      </c>
      <c r="C36" s="54">
        <v>0.12</v>
      </c>
      <c r="D36" s="53">
        <v>0.21</v>
      </c>
      <c r="E36" s="29"/>
      <c r="F36" s="30"/>
      <c r="G36" s="17"/>
      <c r="H36" s="18"/>
      <c r="I36" s="18"/>
    </row>
    <row r="37" spans="1:9" ht="20.100000000000001" customHeight="1">
      <c r="A37" s="18" t="s">
        <v>73</v>
      </c>
      <c r="B37" s="53"/>
      <c r="C37" s="54">
        <f>C14/B14</f>
        <v>8.4489795918367339</v>
      </c>
      <c r="D37" s="54">
        <f>D14/B14</f>
        <v>8.204081632653061</v>
      </c>
      <c r="E37" s="29"/>
      <c r="F37" s="30"/>
      <c r="G37" s="66" t="s">
        <v>74</v>
      </c>
      <c r="H37" s="67"/>
      <c r="I37" s="18"/>
    </row>
    <row r="38" spans="1:9" ht="20.100000000000001" customHeight="1">
      <c r="A38" s="18" t="s">
        <v>75</v>
      </c>
      <c r="B38" s="28"/>
      <c r="C38" s="54">
        <v>0.77</v>
      </c>
      <c r="D38" s="53">
        <v>0.59</v>
      </c>
      <c r="E38" s="29"/>
      <c r="F38" s="30" t="s">
        <v>76</v>
      </c>
      <c r="G38" s="66" t="s">
        <v>77</v>
      </c>
      <c r="H38" s="67"/>
      <c r="I38" s="18"/>
    </row>
    <row r="39" spans="1:9" ht="20.100000000000001" customHeight="1">
      <c r="A39" s="18" t="s">
        <v>78</v>
      </c>
      <c r="B39" s="28"/>
      <c r="C39" s="54">
        <v>6.16</v>
      </c>
      <c r="D39" s="54">
        <v>6.43</v>
      </c>
      <c r="E39" s="29"/>
      <c r="F39" s="30" t="s">
        <v>79</v>
      </c>
      <c r="G39" s="66" t="s">
        <v>80</v>
      </c>
      <c r="H39" s="67"/>
      <c r="I39" s="18"/>
    </row>
    <row r="40" spans="1:9" ht="20.100000000000001" customHeight="1">
      <c r="A40" s="18"/>
      <c r="B40" s="28"/>
      <c r="C40" s="53"/>
      <c r="D40" s="53"/>
      <c r="E40" s="29"/>
      <c r="F40" s="30"/>
      <c r="G40" s="66" t="s">
        <v>81</v>
      </c>
      <c r="H40" s="67"/>
      <c r="I40" s="18"/>
    </row>
    <row r="41" spans="1:9" ht="20.100000000000001" customHeight="1">
      <c r="A41" s="18"/>
      <c r="B41" s="28"/>
      <c r="C41" s="28"/>
      <c r="D41" s="28"/>
      <c r="E41" s="29"/>
      <c r="F41" s="30"/>
      <c r="G41" s="66" t="s">
        <v>82</v>
      </c>
      <c r="H41" s="67"/>
      <c r="I41" s="18"/>
    </row>
    <row r="42" spans="1:9" ht="20.100000000000001" customHeight="1">
      <c r="A42" s="18"/>
      <c r="B42" s="28"/>
      <c r="C42" s="28"/>
      <c r="D42" s="28"/>
      <c r="E42" s="29"/>
      <c r="F42" s="30"/>
      <c r="G42" s="66" t="s">
        <v>83</v>
      </c>
      <c r="H42" s="67"/>
      <c r="I42" s="18"/>
    </row>
    <row r="43" spans="1:9" ht="15" customHeight="1">
      <c r="A43" s="79" t="s">
        <v>84</v>
      </c>
      <c r="B43" s="81"/>
      <c r="C43" s="82"/>
      <c r="D43" s="82"/>
      <c r="E43" s="82"/>
      <c r="F43" s="82"/>
      <c r="G43" s="82"/>
      <c r="H43" s="82"/>
      <c r="I43" s="83"/>
    </row>
    <row r="44" spans="1:9">
      <c r="A44" s="80"/>
      <c r="B44" s="84"/>
      <c r="C44" s="82"/>
      <c r="D44" s="82"/>
      <c r="E44" s="82"/>
      <c r="F44" s="82"/>
      <c r="G44" s="82"/>
      <c r="H44" s="82"/>
      <c r="I44" s="83"/>
    </row>
    <row r="45" spans="1:9">
      <c r="A45" s="80"/>
      <c r="B45" s="84"/>
      <c r="C45" s="82"/>
      <c r="D45" s="82"/>
      <c r="E45" s="82"/>
      <c r="F45" s="82"/>
      <c r="G45" s="82"/>
      <c r="H45" s="82"/>
      <c r="I45" s="83"/>
    </row>
    <row r="46" spans="1:9">
      <c r="A46" s="80"/>
      <c r="B46" s="84"/>
      <c r="C46" s="82"/>
      <c r="D46" s="82"/>
      <c r="E46" s="82"/>
      <c r="F46" s="82"/>
      <c r="G46" s="82"/>
      <c r="H46" s="82"/>
      <c r="I46" s="83"/>
    </row>
    <row r="47" spans="1:9">
      <c r="A47" s="80"/>
      <c r="B47" s="84"/>
      <c r="C47" s="82"/>
      <c r="D47" s="82"/>
      <c r="E47" s="82"/>
      <c r="F47" s="82"/>
      <c r="G47" s="82"/>
      <c r="H47" s="82"/>
      <c r="I47" s="83"/>
    </row>
    <row r="48" spans="1:9">
      <c r="A48" s="80"/>
      <c r="B48" s="84"/>
      <c r="C48" s="82"/>
      <c r="D48" s="82"/>
      <c r="E48" s="82"/>
      <c r="F48" s="82"/>
      <c r="G48" s="82"/>
      <c r="H48" s="82"/>
      <c r="I48" s="83"/>
    </row>
    <row r="49" spans="1:9">
      <c r="A49" s="80"/>
      <c r="B49" s="85"/>
      <c r="C49" s="86"/>
      <c r="D49" s="86"/>
      <c r="E49" s="86"/>
      <c r="F49" s="86"/>
      <c r="G49" s="86"/>
      <c r="H49" s="86"/>
      <c r="I49" s="87"/>
    </row>
    <row r="50" spans="1:9">
      <c r="A50" s="88" t="s">
        <v>85</v>
      </c>
      <c r="B50" s="68"/>
      <c r="C50" s="66"/>
      <c r="D50" s="89" t="s">
        <v>86</v>
      </c>
      <c r="E50" s="90"/>
      <c r="F50" s="91"/>
      <c r="G50" s="92" t="s">
        <v>87</v>
      </c>
      <c r="H50" s="68"/>
      <c r="I50" s="93"/>
    </row>
    <row r="51" spans="1:9" ht="17.25" customHeight="1" thickBot="1">
      <c r="A51" s="94" t="s">
        <v>88</v>
      </c>
      <c r="B51" s="95"/>
      <c r="C51" s="96"/>
      <c r="D51" s="97" t="s">
        <v>89</v>
      </c>
      <c r="E51" s="95"/>
      <c r="F51" s="96"/>
      <c r="G51" s="98"/>
      <c r="H51" s="98"/>
      <c r="I51" s="99"/>
    </row>
  </sheetData>
  <mergeCells count="31">
    <mergeCell ref="A50:C50"/>
    <mergeCell ref="D50:F50"/>
    <mergeCell ref="G50:I50"/>
    <mergeCell ref="A51:C51"/>
    <mergeCell ref="D51:F51"/>
    <mergeCell ref="G51:I51"/>
    <mergeCell ref="G38:H38"/>
    <mergeCell ref="G39:H39"/>
    <mergeCell ref="G40:H40"/>
    <mergeCell ref="G41:H41"/>
    <mergeCell ref="G42:H42"/>
    <mergeCell ref="A43:A49"/>
    <mergeCell ref="B43:I49"/>
    <mergeCell ref="G15:G16"/>
    <mergeCell ref="G17:G18"/>
    <mergeCell ref="G19:G20"/>
    <mergeCell ref="G23:G24"/>
    <mergeCell ref="G25:G26"/>
    <mergeCell ref="G37:H37"/>
    <mergeCell ref="G9:G10"/>
    <mergeCell ref="H9:H10"/>
    <mergeCell ref="I9:I10"/>
    <mergeCell ref="G11:G12"/>
    <mergeCell ref="H11:H12"/>
    <mergeCell ref="I11:I12"/>
    <mergeCell ref="B6:D6"/>
    <mergeCell ref="G6:I6"/>
    <mergeCell ref="A7:A8"/>
    <mergeCell ref="B7:B8"/>
    <mergeCell ref="C7:C8"/>
    <mergeCell ref="D7:D8"/>
  </mergeCells>
  <phoneticPr fontId="2" type="noConversion"/>
  <pageMargins left="0" right="0" top="0.55118110236220474" bottom="0.55118110236220474" header="0.31496062992125984" footer="0.31496062992125984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0630</vt:lpstr>
      <vt:lpstr>0709</vt:lpstr>
      <vt:lpstr>0715</vt:lpstr>
      <vt:lpstr>0722</vt:lpstr>
      <vt:lpstr>0729</vt:lpstr>
      <vt:lpstr>0804</vt:lpstr>
      <vt:lpstr>0812</vt:lpstr>
      <vt:lpstr>0819</vt:lpstr>
      <vt:lpstr>0826</vt:lpstr>
      <vt:lpstr>0902</vt:lpstr>
      <vt:lpstr>0909</vt:lpstr>
      <vt:lpstr>0916</vt:lpstr>
      <vt:lpstr>0923</vt:lpstr>
      <vt:lpstr>0930</vt:lpstr>
      <vt:lpstr>1007</vt:lpstr>
      <vt:lpstr>1014</vt:lpstr>
      <vt:lpstr>1021</vt:lpstr>
      <vt:lpstr>1027</vt:lpstr>
      <vt:lpstr>1104</vt:lpstr>
      <vt:lpstr>1110</vt:lpstr>
      <vt:lpstr>1117</vt:lpstr>
      <vt:lpstr>1125</vt:lpstr>
      <vt:lpstr>1202</vt:lpstr>
      <vt:lpstr>1209</vt:lpstr>
      <vt:lpstr>1216</vt:lpstr>
      <vt:lpstr>1223</vt:lpstr>
      <vt:lpstr>1230</vt:lpstr>
      <vt:lpstr>0106</vt:lpstr>
      <vt:lpstr>0113</vt:lpstr>
      <vt:lpstr>0119</vt:lpstr>
      <vt:lpstr>0127</vt:lpstr>
      <vt:lpstr>0203</vt:lpstr>
      <vt:lpstr>0209</vt:lpstr>
      <vt:lpstr>0223</vt:lpstr>
      <vt:lpstr>0303</vt:lpstr>
      <vt:lpstr>0310</vt:lpstr>
      <vt:lpstr>0317</vt:lpstr>
      <vt:lpstr>0324</vt:lpstr>
      <vt:lpstr>0330</vt:lpstr>
      <vt:lpstr>0407</vt:lpstr>
      <vt:lpstr>0414</vt:lpstr>
      <vt:lpstr>0421</vt:lpstr>
      <vt:lpstr>0427</vt:lpstr>
      <vt:lpstr>0505</vt:lpstr>
      <vt:lpstr>0512</vt:lpstr>
      <vt:lpstr>0519</vt:lpstr>
      <vt:lpstr>0526</vt:lpstr>
      <vt:lpstr>0602</vt:lpstr>
      <vt:lpstr>0609</vt:lpstr>
      <vt:lpstr>0616</vt:lpstr>
      <vt:lpstr>0623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水中-吳美珠</dc:creator>
  <cp:lastModifiedBy>水中-吳俊賢</cp:lastModifiedBy>
  <dcterms:created xsi:type="dcterms:W3CDTF">2025-09-08T07:57:48Z</dcterms:created>
  <dcterms:modified xsi:type="dcterms:W3CDTF">2026-06-29T10:02:13Z</dcterms:modified>
</cp:coreProperties>
</file>